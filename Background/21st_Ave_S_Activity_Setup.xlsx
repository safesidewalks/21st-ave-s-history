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C:\Users\burgesd1\Downloads\"/>
    </mc:Choice>
  </mc:AlternateContent>
  <xr:revisionPtr revIDLastSave="0" documentId="13_ncr:1_{8FF1505D-68AA-48EA-9754-039E7471E370}" xr6:coauthVersionLast="47" xr6:coauthVersionMax="47" xr10:uidLastSave="{00000000-0000-0000-0000-000000000000}"/>
  <bookViews>
    <workbookView xWindow="-120" yWindow="-120" windowWidth="29040" windowHeight="15840" xr2:uid="{00000000-000D-0000-FFFF-FFFF00000000}"/>
  </bookViews>
  <sheets>
    <sheet name="POM  Section" sheetId="1" r:id="rId1"/>
    <sheet name="FA Section" sheetId="2" r:id="rId2"/>
    <sheet name="FA Section - Grants" sheetId="10" r:id="rId3"/>
    <sheet name="PullDowns" sheetId="5" r:id="rId4"/>
    <sheet name="Source Definitions" sheetId="11" r:id="rId5"/>
    <sheet name="standard activities" sheetId="6" state="hidden" r:id="rId6"/>
    <sheet name="prefix" sheetId="8" state="hidden" r:id="rId7"/>
  </sheets>
  <externalReferences>
    <externalReference r:id="rId8"/>
    <externalReference r:id="rId9"/>
  </externalReferences>
  <definedNames>
    <definedName name="ActivityID">'[1]FIN &amp; ACCT ONLY'!$J$45</definedName>
    <definedName name="BillingLine">[1]Pulldowns!$A$1:$A$27</definedName>
    <definedName name="fundsource">[1]Pulldowns!$C$2:$C$43</definedName>
    <definedName name="Ineligible">'standard activities'!$Q$3</definedName>
    <definedName name="_xlnm.Print_Area" localSheetId="1">'FA Section'!$A$1:$L$36</definedName>
    <definedName name="_xlnm.Print_Area" localSheetId="2">'FA Section - Grants'!$A$1:$N$71</definedName>
    <definedName name="_xlnm.Print_Area" localSheetId="0">'POM  Section'!$A$1:$M$42</definedName>
    <definedName name="_xlnm.Print_Area" localSheetId="4">'Source Definitions'!$A$1:$G$69</definedName>
    <definedName name="PROJ" localSheetId="2">'POM  Section'!#REF!</definedName>
    <definedName name="PROJ">'POM  Section'!#REF!</definedName>
    <definedName name="Sequence">[1]Pulldowns!$B$1:$B$10</definedName>
    <definedName name="Types">PullDowns!$C$2:$C$13</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2" i="1" l="1"/>
  <c r="AG31" i="10"/>
  <c r="J24" i="1"/>
  <c r="I70" i="10" l="1"/>
  <c r="J67" i="10" l="1"/>
  <c r="J61" i="10"/>
  <c r="J55" i="10"/>
  <c r="J31" i="2"/>
  <c r="J32" i="10" l="1"/>
  <c r="J69" i="10" l="1"/>
  <c r="J68" i="10"/>
  <c r="I64" i="10"/>
  <c r="J63" i="10"/>
  <c r="J62" i="10"/>
  <c r="I58" i="10"/>
  <c r="J57" i="10"/>
  <c r="J56" i="10"/>
  <c r="I52" i="10"/>
  <c r="I13" i="10" l="1"/>
  <c r="I12" i="10"/>
  <c r="AG30" i="10" s="1"/>
  <c r="I46" i="10"/>
  <c r="D13" i="10"/>
  <c r="I34" i="10"/>
  <c r="J33" i="10"/>
  <c r="J45" i="10"/>
  <c r="J44" i="10"/>
  <c r="J43" i="10"/>
  <c r="D20" i="10"/>
  <c r="D21" i="10" s="1"/>
  <c r="J20" i="10" l="1"/>
  <c r="J21" i="10" l="1"/>
  <c r="J51" i="10"/>
  <c r="J50" i="10"/>
  <c r="J49" i="10"/>
  <c r="I40" i="10"/>
  <c r="J39" i="10"/>
  <c r="J38" i="10"/>
  <c r="J37" i="10"/>
  <c r="K7" i="10"/>
  <c r="E7" i="10"/>
  <c r="K6" i="10"/>
  <c r="E6" i="10"/>
  <c r="K5" i="10"/>
  <c r="E5" i="10"/>
  <c r="J22" i="10" l="1"/>
  <c r="AG29" i="10" s="1"/>
  <c r="K7" i="2"/>
  <c r="K6" i="2"/>
  <c r="K5" i="2" l="1"/>
  <c r="E7" i="2"/>
  <c r="E6" i="2"/>
  <c r="E5" i="2"/>
  <c r="J33" i="2" l="1"/>
  <c r="J27" i="2"/>
  <c r="J21" i="2"/>
  <c r="I34" i="2"/>
  <c r="J32" i="2"/>
  <c r="I28" i="2"/>
  <c r="J26" i="2"/>
  <c r="J25" i="2"/>
  <c r="I22" i="2"/>
  <c r="J20" i="2"/>
  <c r="J1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Quigley, Madeline</author>
    <author>Marks, Clarissa</author>
  </authors>
  <commentList>
    <comment ref="E6" authorId="0" shapeId="0" xr:uid="{A69E3836-D4B2-4EBF-BB5D-3E2718286C4F}">
      <text>
        <r>
          <rPr>
            <sz val="9"/>
            <color indexed="81"/>
            <rFont val="Tahoma"/>
            <family val="2"/>
          </rPr>
          <t xml:space="preserve">Limit to 30 characters
</t>
        </r>
      </text>
    </comment>
    <comment ref="E7" authorId="1" shapeId="0" xr:uid="{FC7DE8CE-D05B-457F-90C3-EBC5D076C47B}">
      <text>
        <r>
          <rPr>
            <b/>
            <sz val="11"/>
            <color indexed="81"/>
            <rFont val="Calibri"/>
            <family val="2"/>
            <scheme val="minor"/>
          </rPr>
          <t>Detail project numbers</t>
        </r>
        <r>
          <rPr>
            <sz val="11"/>
            <color indexed="81"/>
            <rFont val="Calibri"/>
            <family val="2"/>
            <scheme val="minor"/>
          </rPr>
          <t xml:space="preserve"> start with TRC, TRG, TRR, TRA, TRD, TRV, TR8. TRC and TRG being the most common. An example detail project ID is TRC1234. If you do not know the detail project number please contact the Project Owner or your Finance Analyst (FA). 
If a new detail project is needed, type "TBD" into this cell and complete the Detail Project Setup Form. Then submit the completed Detail Project Setup Form along with this Activity Setup Form to your FA.</t>
        </r>
      </text>
    </comment>
    <comment ref="E8" authorId="0" shapeId="0" xr:uid="{20D1B05B-34D5-48D9-8D77-6213A4EB37FB}">
      <text>
        <r>
          <rPr>
            <b/>
            <sz val="9"/>
            <color indexed="81"/>
            <rFont val="Tahoma"/>
            <family val="2"/>
          </rPr>
          <t>Detail Project Description</t>
        </r>
        <r>
          <rPr>
            <sz val="9"/>
            <color indexed="81"/>
            <rFont val="Tahoma"/>
            <family val="2"/>
          </rPr>
          <t xml:space="preserve"> - This is the description/name of the detail project ID noted above. If the detail project is NOT setup, enter the name/description that matches the one you entered on the Detail Project Setup form.</t>
        </r>
      </text>
    </comment>
    <comment ref="J27" authorId="0" shapeId="0" xr:uid="{ABDF2EB6-3388-4238-9CA6-47CD441E91CF}">
      <text>
        <r>
          <rPr>
            <sz val="9"/>
            <color indexed="81"/>
            <rFont val="Tahoma"/>
            <family val="2"/>
          </rPr>
          <t>Is this work in underserved areas of the City? If yes, this work may be eligible to be covered with the 2021 VLF$20B funds.</t>
        </r>
      </text>
    </comment>
    <comment ref="B28" authorId="0" shapeId="0" xr:uid="{C61BD0F1-2E32-464D-AADF-1F4DA707B52B}">
      <text>
        <r>
          <rPr>
            <sz val="9"/>
            <color indexed="81"/>
            <rFont val="Tahoma"/>
            <family val="2"/>
          </rPr>
          <t>This includes agreements with other City departments such as SPU, SCL, DON, SPR, etc.</t>
        </r>
      </text>
    </comment>
    <comment ref="B29" authorId="0" shapeId="0" xr:uid="{6E7ADF33-46CB-4D13-821A-4158C9E5C049}">
      <text>
        <r>
          <rPr>
            <sz val="9"/>
            <color indexed="81"/>
            <rFont val="Tahoma"/>
            <family val="2"/>
          </rPr>
          <t>This includes agreements with King County, Sound Transit, WSDOT, etc.</t>
        </r>
      </text>
    </comment>
    <comment ref="L29" authorId="0" shapeId="0" xr:uid="{056BE431-22C3-4549-979F-46FE947F6644}">
      <text>
        <r>
          <rPr>
            <sz val="9"/>
            <color indexed="81"/>
            <rFont val="Tahoma"/>
            <family val="2"/>
          </rPr>
          <t>Input permit # here.</t>
        </r>
      </text>
    </comment>
    <comment ref="K30" authorId="0" shapeId="0" xr:uid="{D68DD4BD-6EB0-43A6-B53D-5CBB26F51C8D}">
      <text>
        <r>
          <rPr>
            <sz val="9"/>
            <color indexed="81"/>
            <rFont val="Tahoma"/>
            <family val="2"/>
          </rPr>
          <t>Please add the mitigation deposit # here. Work with your FA to get this # if you don't have it.</t>
        </r>
      </text>
    </comment>
    <comment ref="K31" authorId="0" shapeId="0" xr:uid="{426A5BFE-E856-4E2D-B103-FF91E82EAB12}">
      <text>
        <r>
          <rPr>
            <sz val="9"/>
            <color indexed="81"/>
            <rFont val="Tahoma"/>
            <family val="2"/>
          </rPr>
          <t>Please add the CBA # here.</t>
        </r>
      </text>
    </comment>
    <comment ref="B32" authorId="0" shapeId="0" xr:uid="{9417416A-62F5-4EDE-9087-65101021E1FB}">
      <text>
        <r>
          <rPr>
            <sz val="9"/>
            <color indexed="81"/>
            <rFont val="Tahoma"/>
            <family val="2"/>
          </rPr>
          <t>Is this work within 1/4 mile of a school and related to creating safe routes to schools? If yes this work may be eligible to be covered with School Zone Camera funding.</t>
        </r>
      </text>
    </comment>
    <comment ref="K32" authorId="0" shapeId="0" xr:uid="{B3088720-E189-4E78-A0CC-24F315FE6647}">
      <text>
        <r>
          <rPr>
            <sz val="9"/>
            <color indexed="81"/>
            <rFont val="Tahoma"/>
            <family val="2"/>
          </rPr>
          <t>Please identify the funding here.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GrantOpsandMaint" description="Connection to the 'GrantOpsandMaint' query in the workbook." type="5" refreshedVersion="0" background="1">
    <dbPr connection="Provider=Microsoft.Mashup.OleDb.1;Data Source=$Workbook$;Location=GrantOpsandMaint;Extended Properties=&quot;&quot;" command="SELECT * FROM [GrantOpsandMaint]"/>
  </connection>
  <connection id="2" xr16:uid="{00000000-0015-0000-FFFF-FFFF01000000}" keepAlive="1" name="Query - OpsandMaintStandard" description="Connection to the 'OpsandMaintStandard' query in the workbook." type="5" refreshedVersion="0" background="1">
    <dbPr connection="Provider=Microsoft.Mashup.OleDb.1;Data Source=$Workbook$;Location=OpsandMaintStandard;Extended Properties=&quot;&quot;" command="SELECT * FROM [OpsandMaintStandard]"/>
  </connection>
</connections>
</file>

<file path=xl/sharedStrings.xml><?xml version="1.0" encoding="utf-8"?>
<sst xmlns="http://schemas.openxmlformats.org/spreadsheetml/2006/main" count="1657" uniqueCount="1297">
  <si>
    <t>Permit</t>
  </si>
  <si>
    <t>Mitigation Deposit</t>
  </si>
  <si>
    <t>Grant</t>
  </si>
  <si>
    <t>Accident Claim</t>
  </si>
  <si>
    <t>General Project Information</t>
  </si>
  <si>
    <t>PullDowns</t>
  </si>
  <si>
    <t>If Yes fill out Funds Distribution below:</t>
  </si>
  <si>
    <t>Fund</t>
  </si>
  <si>
    <t>Funding Source</t>
  </si>
  <si>
    <t>Line</t>
  </si>
  <si>
    <t>Percent</t>
  </si>
  <si>
    <t>BSL Project</t>
  </si>
  <si>
    <t>BSL Program</t>
  </si>
  <si>
    <t>Funding Details</t>
  </si>
  <si>
    <t>Types</t>
  </si>
  <si>
    <t>Revenue Only</t>
  </si>
  <si>
    <t xml:space="preserve"> </t>
  </si>
  <si>
    <t>Labor Charges OK?</t>
  </si>
  <si>
    <t>Yes</t>
  </si>
  <si>
    <t>No</t>
  </si>
  <si>
    <t>Funding Sources</t>
  </si>
  <si>
    <t>None</t>
  </si>
  <si>
    <t>Password:Dropdown</t>
  </si>
  <si>
    <t>SDOT Activity Set-Up Form</t>
  </si>
  <si>
    <t>Activity Details</t>
  </si>
  <si>
    <t>Initiation</t>
  </si>
  <si>
    <t>Acquisition</t>
  </si>
  <si>
    <t>Design</t>
  </si>
  <si>
    <t>Planning</t>
  </si>
  <si>
    <t>Construction</t>
  </si>
  <si>
    <t>Close</t>
  </si>
  <si>
    <t>Reimbursable</t>
  </si>
  <si>
    <t>Interdepartmental MOA / MOU</t>
  </si>
  <si>
    <t>Reimbursment Types</t>
  </si>
  <si>
    <t>Allocations</t>
  </si>
  <si>
    <t>Contract Billing</t>
  </si>
  <si>
    <t>Billing Module</t>
  </si>
  <si>
    <t>Interfund Revenue or Expense (Journal Entry)</t>
  </si>
  <si>
    <t>Rate Plan</t>
  </si>
  <si>
    <t>Activity Billing</t>
  </si>
  <si>
    <t>N/A</t>
  </si>
  <si>
    <t>Standard</t>
  </si>
  <si>
    <t>Unique</t>
  </si>
  <si>
    <t>Detail Project</t>
  </si>
  <si>
    <t>TR80001 SU-PIBs Recovery</t>
  </si>
  <si>
    <t>TR80002 SU Revenue Center</t>
  </si>
  <si>
    <t>TR80003 SU-Access Seattle</t>
  </si>
  <si>
    <t>TR80004 SU-Cprs Insp Cost Ctr</t>
  </si>
  <si>
    <t>TR80005 SU-Development Review</t>
  </si>
  <si>
    <t>TR80006 SU-District Inspect &amp; Coord</t>
  </si>
  <si>
    <t>TR80007 SU-Division Management</t>
  </si>
  <si>
    <t>TR80008 SU-Emergency Response</t>
  </si>
  <si>
    <t>TR80009 SU-Inspector Investigations</t>
  </si>
  <si>
    <t>TR80010 SU-Major Projects Cost Ctr</t>
  </si>
  <si>
    <t>TR80011 SU-Policy Planning Cost Ctr</t>
  </si>
  <si>
    <t>TR80012 SU-ProjDev Cost Ctr</t>
  </si>
  <si>
    <t>TR80013 SU-Project Coordination</t>
  </si>
  <si>
    <t>TR80014 SU-PSM Code Compliance</t>
  </si>
  <si>
    <t>TR80015 SU-Public Space Program Dvlpmt</t>
  </si>
  <si>
    <t>TR80016 SU-Shared Cost Projects</t>
  </si>
  <si>
    <t>TR80017 SU-Shoring</t>
  </si>
  <si>
    <t>TR80018 SU-Site Plan Review</t>
  </si>
  <si>
    <t>TR80019 SU-St Maint Insp Cost Ctr</t>
  </si>
  <si>
    <t>TR80020 SU-Street Improvmnt Inspection</t>
  </si>
  <si>
    <t>TR80021 SU-Street Improvement Review</t>
  </si>
  <si>
    <t>TR80022 SU- Code Development &amp; Coordin</t>
  </si>
  <si>
    <t>TR80023 SU-Street Use Data and GIS</t>
  </si>
  <si>
    <t>TR80024 SU-Street Use Funded Projects</t>
  </si>
  <si>
    <t>TR80025 SU-Permit Billing &amp; Accounting</t>
  </si>
  <si>
    <t>TR80026 SU-Permit Customer Service</t>
  </si>
  <si>
    <t>TR80027 SU-Term Permit Program</t>
  </si>
  <si>
    <t>TR80028 SU-Traffic Insp Cost Ctr</t>
  </si>
  <si>
    <t>TR80029 SU-TransitMobility Cost Ctr</t>
  </si>
  <si>
    <t>TR80030 SU-UF Insp Cost Ctr</t>
  </si>
  <si>
    <t>TR80031 SU-Utility Major Permit Inspec</t>
  </si>
  <si>
    <t>TR80032 SU-Utility Review</t>
  </si>
  <si>
    <t>TR80034 SU-Public Space Program Mgmt</t>
  </si>
  <si>
    <t>TR80035 SU-ROW Mgmt Permit Processing</t>
  </si>
  <si>
    <t>TR80036 SU-ROW Managemnt Permit Review</t>
  </si>
  <si>
    <t>TR80037 SU-ROW Mgmnt Program Support</t>
  </si>
  <si>
    <t>TR80038 FF Bike Share Expenditures</t>
  </si>
  <si>
    <t>TR80039 FF Bike Share Revenues</t>
  </si>
  <si>
    <t>TR80040 Car Sharing - Expenditures</t>
  </si>
  <si>
    <t>TR80041 Car Sharing - Revenue</t>
  </si>
  <si>
    <t>TR80042 Carpool - Expenditures</t>
  </si>
  <si>
    <t>TR80043 Carpool - Revenues</t>
  </si>
  <si>
    <t>TR80044 RPZ - Expenditures</t>
  </si>
  <si>
    <t>TR80045 RPZ - Revenues</t>
  </si>
  <si>
    <t>TR80046 RPZ - Special Projects</t>
  </si>
  <si>
    <t>TR80047 Shoreline St Ends Revenue</t>
  </si>
  <si>
    <t>TR90001 Equipment Cost Center</t>
  </si>
  <si>
    <t>TR90002 Equipment Recovery</t>
  </si>
  <si>
    <t>TR90003 Rubble Haul Cost Center</t>
  </si>
  <si>
    <t>TR90004 Rubble Haul Recovery</t>
  </si>
  <si>
    <t>TR90005 Sign Shop Cost Center</t>
  </si>
  <si>
    <t>TR90006 Sign Shop Recovery</t>
  </si>
  <si>
    <t>TRA0001 Judgement and Claims</t>
  </si>
  <si>
    <t>TRA0002 SRI - Capital GF</t>
  </si>
  <si>
    <t>TRA0003 SRI - Capital OTH</t>
  </si>
  <si>
    <t>TRA0004 SRI - Non-Capital</t>
  </si>
  <si>
    <t>TRA0005 6 Fund Allocation</t>
  </si>
  <si>
    <t>TRA0006 City Central Cost Recovery</t>
  </si>
  <si>
    <t>TRA0007 Department Mgmt Recovery</t>
  </si>
  <si>
    <t>TRA0008 DivMgmt - CPRS</t>
  </si>
  <si>
    <t>TRA0009 DivMgmt - Maintenance Ops</t>
  </si>
  <si>
    <t>TRA0010 DivMgmt - Policy &amp; Planning</t>
  </si>
  <si>
    <t>TRA0011 DivMgmt - Project Development</t>
  </si>
  <si>
    <t>TRA0012 DivMgmt - Street Use</t>
  </si>
  <si>
    <t>TRA0013 DivMgmt - Transit &amp; Mobility</t>
  </si>
  <si>
    <t>TRA0014 DivMgmt - Transportation Ops</t>
  </si>
  <si>
    <t>TRA0015 Division Management Recovery</t>
  </si>
  <si>
    <t>TRA0016 FAS Budget &amp; Central Services</t>
  </si>
  <si>
    <t>TRA0017 FAS Business Technology</t>
  </si>
  <si>
    <t>TRA0018 FAS City Finance</t>
  </si>
  <si>
    <t>TRA0019 FAS Constituent Services</t>
  </si>
  <si>
    <t>TRA0020 FAS IT Services</t>
  </si>
  <si>
    <t>TRA0021 FAS Purchasing</t>
  </si>
  <si>
    <t>TRA0022 F&amp;A-Accounting</t>
  </si>
  <si>
    <t>TRA0023 F&amp;A-Asset &amp; Performance Mgmt</t>
  </si>
  <si>
    <t>TRA0024 F&amp;A-Contracts &amp; Procurement</t>
  </si>
  <si>
    <t>TRA0025 F&amp;A-Facilities</t>
  </si>
  <si>
    <t>TRA0026 F&amp;A-FAD Director's Office</t>
  </si>
  <si>
    <t>TRA0027 F&amp;A-Finance</t>
  </si>
  <si>
    <t>TRA0028 F&amp;A-Human Resources</t>
  </si>
  <si>
    <t>TRA0029 F&amp;A-Safety &amp; Claims</t>
  </si>
  <si>
    <t>TRA0030 IT Allocated Services</t>
  </si>
  <si>
    <t>TRA0031 IT Allocated Application Srvcs</t>
  </si>
  <si>
    <t>TRA0032 IT/DOT Asset &amp; WO Field Access</t>
  </si>
  <si>
    <t>TRA0033 IT/DOT Budgeted Initiatives</t>
  </si>
  <si>
    <t>TRA0034 FAS Contracting</t>
  </si>
  <si>
    <t>TRA0035 L&amp;C - Office Of The Waterfront</t>
  </si>
  <si>
    <t>TRA0036 FAS Real Estate Services</t>
  </si>
  <si>
    <t>TRA0037 Paid Absence Recovery</t>
  </si>
  <si>
    <t>TRA0038 Paid Absences</t>
  </si>
  <si>
    <t>TRA0039 Pooled Fringe Benefit Recovery</t>
  </si>
  <si>
    <t>TRA0040 Pooled Fringe Benefits</t>
  </si>
  <si>
    <t>TRA0041 FAS Facilities</t>
  </si>
  <si>
    <t>TRA0042 L&amp;C - Director's Office</t>
  </si>
  <si>
    <t>TRA0043 L&amp;C - Office of Communications</t>
  </si>
  <si>
    <t>TRA0044 F&amp;A-Equity &amp;Economic Inclusion</t>
  </si>
  <si>
    <t>TRA0045 IT/DOT InternalOps Initiatives</t>
  </si>
  <si>
    <t>TRA0046 IT/DOT Portfolio Mgmt System</t>
  </si>
  <si>
    <t>TRA0047 IT/DOT PACT</t>
  </si>
  <si>
    <t>TRA0048 IT/DOT Direct Billed Services</t>
  </si>
  <si>
    <t>TRA0049 IT/DOT PARKING AVAIL DATA&amp;API</t>
  </si>
  <si>
    <t>TRA0050 IT/DOT MEDGATE SFTY MGMT SFTWR</t>
  </si>
  <si>
    <t>TRA0051 IT/DOT HRDWR SFTWRE INVSTMNTS</t>
  </si>
  <si>
    <t>TRA0052 IT/DOT EMERGING TRANS TECH</t>
  </si>
  <si>
    <t>TRC0001 23rdAv CorImp-CANG Connections</t>
  </si>
  <si>
    <t>TRC0002 23rdAv CorImp- Phase 1</t>
  </si>
  <si>
    <t>TRC0003 23rdAv CorImp- Phase 2</t>
  </si>
  <si>
    <t>TRC0004 23rdAv CorImp- Phase 3</t>
  </si>
  <si>
    <t>TRC0006 3rd Ave Corr - Phase 2</t>
  </si>
  <si>
    <t>TRC0007 Accella Permitting</t>
  </si>
  <si>
    <t>TRC0008 Accessible Mt Baker</t>
  </si>
  <si>
    <t>TRC0009 AAC Ph 2 - 25th Ave NE</t>
  </si>
  <si>
    <t>TRC0010 AAC Ph 2 - 35th Ave NE</t>
  </si>
  <si>
    <t>TRC0011 AAC Ph 2 - 4th Ave S</t>
  </si>
  <si>
    <t>TRC0012 AAC Ph 2 - 6th Ave</t>
  </si>
  <si>
    <t>TRC0014 AAC Ph 2 - GreenLake Park Loop</t>
  </si>
  <si>
    <t>TRC0015 AAC Ph 2 - N 40th St</t>
  </si>
  <si>
    <t>TRC0016 AAC Ph 2 - N 50th St</t>
  </si>
  <si>
    <t>TRC0017 AAC Ph 2 - N 80th St</t>
  </si>
  <si>
    <t>TRC0018 AAC Ph 2 - NE Pacific St</t>
  </si>
  <si>
    <t>TRC0019 AAC Ph 2 - NckrsnSt/InterbyTrl</t>
  </si>
  <si>
    <t>TRC0020 AAC Ph 2 - Pavement Rating</t>
  </si>
  <si>
    <t>TRC0021 AAC Ph 2 - S Columbian Way</t>
  </si>
  <si>
    <t>TRC0022 AAC Ph 2 - S Dearborn St</t>
  </si>
  <si>
    <t>TRC0023 AAC Ph 2 - S Michigan St Et Al</t>
  </si>
  <si>
    <t>TRC0024 AAC Ph 2 - SW Avalon Way</t>
  </si>
  <si>
    <t>TRC0025 AAC Ph 2 - SW Roxbury St</t>
  </si>
  <si>
    <t>TRC0026 AAC Ph 2 - Swift/Myrtl/Othello</t>
  </si>
  <si>
    <t>TRC0027 Shoreline St Ends Ongoing</t>
  </si>
  <si>
    <t>TRC0028 Shoreline St Ends Projects</t>
  </si>
  <si>
    <t>TRC0029 AAC Ph 2 - UnivstyWyNE/CowenNE</t>
  </si>
  <si>
    <t>TRC0030 AAC Ph 2 - Wilson Ave S</t>
  </si>
  <si>
    <t>TRC0031 AAC Ph 2 - 3rd Ave</t>
  </si>
  <si>
    <t>TRC0033 AAC Ph 2 - Greenwood Ave N</t>
  </si>
  <si>
    <t>TRC0034 AAC Ph 2 - Meridian Ave N</t>
  </si>
  <si>
    <t xml:space="preserve">TRC0037 AAC Ph 2 - Renton Ave S </t>
  </si>
  <si>
    <t>TRC0038 AAC Ph 2 - Roosevelt</t>
  </si>
  <si>
    <t>TRC0039 AAC Ph 2 - Spokane St</t>
  </si>
  <si>
    <t>TRC0040 AMM - Curb Ramps</t>
  </si>
  <si>
    <t>TRC0041 AMM - Program Support</t>
  </si>
  <si>
    <t>TRC0042 AMM - Pavement Resurfacing</t>
  </si>
  <si>
    <t>TRC0043 AMM - Pavement Spot Repair</t>
  </si>
  <si>
    <t>TRC0044 AMM - Program Management</t>
  </si>
  <si>
    <t>TRC0048 Bridge Load Rating</t>
  </si>
  <si>
    <t>TRC0051 Rehab BRG-069/070 Fairview</t>
  </si>
  <si>
    <t>TRC0053 Rehab BRG-038 Fauntl Spalling</t>
  </si>
  <si>
    <t>TRC0054 Rehab BRG-020 Ballard Sewer</t>
  </si>
  <si>
    <t>TRC0055 Rehab BRG-036 Yesler/4th Ave S</t>
  </si>
  <si>
    <t>TRC0056 Rehab BRG II-Cowen Park</t>
  </si>
  <si>
    <t>TRC0057 Rehab BRG II-023 Magnolia</t>
  </si>
  <si>
    <t>TRC0058 Rehab BRG II-160 Post Ave</t>
  </si>
  <si>
    <t>TRC0059 Seismic BRG-106 8th/133rd</t>
  </si>
  <si>
    <t>TRC0061 Seismic BRG-095 N 41st Ped</t>
  </si>
  <si>
    <t>TRC0062 Seismic BRG-130 NE 45th St Ped</t>
  </si>
  <si>
    <t>TRC0063 Seismic BRG-147 Sw Andover Ped</t>
  </si>
  <si>
    <t>TRC0064 Seismic BRG-053 W Howe St</t>
  </si>
  <si>
    <t>TRC0065 BSE - Streetcars</t>
  </si>
  <si>
    <t>TRC0066 Northgate Bike and Ped Impr</t>
  </si>
  <si>
    <t>TRC0068 BRT Concept Design</t>
  </si>
  <si>
    <t>TRC0069 BG Trl Ext - Missing Link EIS</t>
  </si>
  <si>
    <t>TRC0070 BG Trl Ext - Missing Link</t>
  </si>
  <si>
    <t>TRC0071 Ctr City Connector - Line</t>
  </si>
  <si>
    <t>TRC0072 Ctr City Connector - Stcars</t>
  </si>
  <si>
    <t>TRC0074 Ctr City Connector -Util Moves</t>
  </si>
  <si>
    <t>TRC0075 Cheshiahud Lake Union Trail</t>
  </si>
  <si>
    <t>TRC0076 Columbia Two Way Street Imp</t>
  </si>
  <si>
    <t>TRC0077 CCGW&amp;SM  ITS - 1st Ave South</t>
  </si>
  <si>
    <t>TRC0078 CCGW&amp;SM  ITS - Denny</t>
  </si>
  <si>
    <t xml:space="preserve">TRC0079 CCGW&amp;SM  ITS - S Michigan St </t>
  </si>
  <si>
    <t>TRC0080 Delridge MM - Concept Planning</t>
  </si>
  <si>
    <t>TRC0081 Delridge MM - RREP Design</t>
  </si>
  <si>
    <t>TRC0082 Roosevelt Multimodal Corridor</t>
  </si>
  <si>
    <t>TRC0085 EBSW- HabitatIntertidalZone</t>
  </si>
  <si>
    <t>TRC0093 Fauntleroy Way SW Green Blvd</t>
  </si>
  <si>
    <t>TRC0094 Freight- Research &amp; Analysis</t>
  </si>
  <si>
    <t>TRC0095 Freight- Spot Improvement</t>
  </si>
  <si>
    <t>TRC0096 Freight- Program Mgmt</t>
  </si>
  <si>
    <t>TRC0098 Freight-RR Xing SpotImprvmtDev</t>
  </si>
  <si>
    <t>TRC0099 GW SW Imprv - Greenwood East</t>
  </si>
  <si>
    <t>TRC0100 GW SW Imprv - Greenwood West</t>
  </si>
  <si>
    <t>TRC0102 HMP - 823 1st Ave Areaway</t>
  </si>
  <si>
    <t>TRC0103 HMP - Monitoring</t>
  </si>
  <si>
    <t>TRC0104 HazMit Lndsld- 20 Av - XX Blck</t>
  </si>
  <si>
    <t>TRC0105 HazMit Lndsld- 2819 20th Ave</t>
  </si>
  <si>
    <t>TRC0106 HazMit Lndsld- 5400 Blk 3rd Av</t>
  </si>
  <si>
    <t>TRC0107 HazMit Lndsld-CalifrSW&amp;Cambrdg</t>
  </si>
  <si>
    <t>TRC0108 HazMit Lndsld- Prog Mgmt</t>
  </si>
  <si>
    <t>TRC0109 HazMit Lndsld- Rainier Ave S</t>
  </si>
  <si>
    <t>TRC0110 HazMit Lndsld- Westlake Ave N</t>
  </si>
  <si>
    <t>TRC0111 King St Station Tenant Impr</t>
  </si>
  <si>
    <t>TRC0112 Madison BRT</t>
  </si>
  <si>
    <t>TRC0113 Madison BRT - NGW</t>
  </si>
  <si>
    <t xml:space="preserve">TRC0115 Madison BRT - Spring St </t>
  </si>
  <si>
    <t>TRC0116 Mercer Corridor Project</t>
  </si>
  <si>
    <t>TRC0117 MercerW - 9th Ave PBL</t>
  </si>
  <si>
    <t>TRC0118 MercerW - Mercer West</t>
  </si>
  <si>
    <t>TRC0120 MercerW - N Access Strs/Utilts</t>
  </si>
  <si>
    <t>TRC0123 MMC Dev - E Marginal</t>
  </si>
  <si>
    <t>TRC0125 NLP-15 Av S/S Columbian Wy</t>
  </si>
  <si>
    <t>TRC0127 NLP-Aurora Av Art Cor-85-105</t>
  </si>
  <si>
    <t>TRC0128 NLP-AuroraAv N/N 92 St New Sig</t>
  </si>
  <si>
    <t>TRC0129 NLP-Bailey Gatzert Ped Improve</t>
  </si>
  <si>
    <t>TRC0130 NLP-ChiefSealth HS Wlkwy Imprv</t>
  </si>
  <si>
    <t>TRC0131 NLP-Harbor Av SW/SW Spokane St</t>
  </si>
  <si>
    <t>TRC0132 NLP-Hawthorne Elem/Genesee Ped</t>
  </si>
  <si>
    <t>TRC0133 NLP-Holman Rd/13th Av NW Signl</t>
  </si>
  <si>
    <t>TRC0134 NLP-Improv Connctns -Freewy Pk</t>
  </si>
  <si>
    <t>TRC0135 NLP-John &amp; Thomas Xing Improve</t>
  </si>
  <si>
    <t>TRC0136 NLP-N 40th/BagleyAvN Ped Imprv</t>
  </si>
  <si>
    <t>TRC0137 NLP-NE 70t/I-5 Walk/Bike Imprv</t>
  </si>
  <si>
    <t>TRC0141 NLP-2016-18 Prog Mgmt</t>
  </si>
  <si>
    <t>TRC0143 NLP-S Jackson St Cor Imprv</t>
  </si>
  <si>
    <t>TRC0144 NTC-Community Requested Signs</t>
  </si>
  <si>
    <t>TRC0145 NTC-New Traffic Circles</t>
  </si>
  <si>
    <t>TRC0146 NTC-Nbd Traffic Control PrgMgt</t>
  </si>
  <si>
    <t>TRC0147 NTC-Radar Speed Signs</t>
  </si>
  <si>
    <t>TRC0148 NTC-Traffic Circle Rehab</t>
  </si>
  <si>
    <t>TRC0149 NTC-2018 Traffic Calming Proj1</t>
  </si>
  <si>
    <t>TRC0150 NTS - 25th/75th NE Left Turn</t>
  </si>
  <si>
    <t>TRC0151 NTS - 5th Ave Left Turns</t>
  </si>
  <si>
    <t>TRC0152 NTS - 5th/Main Left Turn</t>
  </si>
  <si>
    <t>TRC0153 NTS - 3rd Ave Electrical</t>
  </si>
  <si>
    <t>TRC0154 NTS - Boren/Pike Left Turn</t>
  </si>
  <si>
    <t>TRC0155 NTS - Mlk/Mcclellan Left Turn</t>
  </si>
  <si>
    <t>TRC0156 NTS - NE Campus Pkwy &amp; 12 Sig</t>
  </si>
  <si>
    <t>TRC0157 NTS - New Traff Signals PrgMgt</t>
  </si>
  <si>
    <t>TRC0158 NTS - Roosevelt Way &amp; NE 125th</t>
  </si>
  <si>
    <t>TRC0159 NTS - Troll Av N &amp; N 34th St</t>
  </si>
  <si>
    <t>TRC0160 NextGenITS-CCTVs</t>
  </si>
  <si>
    <t>TRC0161 NextGenITS-CtrCty DynmcSgnlTmg</t>
  </si>
  <si>
    <t>TRC0165 NextGenITS- ITS Greenwood</t>
  </si>
  <si>
    <t>TRC0166 NextGenITS- ITS - Leary</t>
  </si>
  <si>
    <t>TRC0167 NextGenITS- ITS - Rainier</t>
  </si>
  <si>
    <t>TRC0168 NextGenITS- ITS -WSeattle Brdg</t>
  </si>
  <si>
    <t>TRC0169 NextGenITS- ITS - Western</t>
  </si>
  <si>
    <t>TRC0170 NextGenITS-Network Resiliance</t>
  </si>
  <si>
    <t>TRC0171 NextGenITS- Program Mgmt</t>
  </si>
  <si>
    <t>TRC0172 NextGenITS- Spot Improvements</t>
  </si>
  <si>
    <t>TRC0173 NextGenITS- Traveler Info Map</t>
  </si>
  <si>
    <t>TRC0174 NASRR - Curb Ramps</t>
  </si>
  <si>
    <t>TRC0175 NASRR - Program Support</t>
  </si>
  <si>
    <t>TRC0176 NASRR - Pavement Resurfacing</t>
  </si>
  <si>
    <t>TRC0177 NASRR - Pavement Spot Repair</t>
  </si>
  <si>
    <t>TRC0178 NASRR - Program Management</t>
  </si>
  <si>
    <t>TRC0179 1st Ave NE MUP</t>
  </si>
  <si>
    <t>TRC0180 Northgate Bridge</t>
  </si>
  <si>
    <t>TRC0182 NPSF-1 Av NW &amp; N 36 Xing Imprv</t>
  </si>
  <si>
    <t>TRC0183 NPSF-10Av E &amp; E JohnSt PedXing</t>
  </si>
  <si>
    <t>TRC0185 NPSF-12AvSW &amp; SWKenyn TrafCalm</t>
  </si>
  <si>
    <t>TRC0187 NPSF-15 Av S &amp; S Mass RRFB</t>
  </si>
  <si>
    <t>TRC0188 NPSF-17AvNW &amp; NWDockPl IntImpv</t>
  </si>
  <si>
    <t>TRC0189 NPSF-1St Ave ITS</t>
  </si>
  <si>
    <t>TRC0190 NPSF-25AvSW &amp; SWBrandn TrfCalm</t>
  </si>
  <si>
    <t>TRC0193 NPSF-35 Av NE &amp; NE 105 St RRFB</t>
  </si>
  <si>
    <t>TRC0194 NPSF-35 Av NE &amp; NE 135st Bulb</t>
  </si>
  <si>
    <t>TRC0195 NPSF-35AvNE &amp; NE 135 Curb Bulb</t>
  </si>
  <si>
    <t>TRC0196 NPSF-35AvS ColumbiaCty Curbing</t>
  </si>
  <si>
    <t>TRC0197 NPSF-35 Av S Columbia Cty Curb</t>
  </si>
  <si>
    <t>TRC0198 NPSF-35th NE &amp; NE135th St Bulb</t>
  </si>
  <si>
    <t>TRC0199 NPSF-4 Av Dwntwn Flex Pvmnt</t>
  </si>
  <si>
    <t>TRC0200 NPSF-4th Av W &amp; Nwton St Rmps</t>
  </si>
  <si>
    <t>TRC0201 NPSF-55 Av S Traffic Calm</t>
  </si>
  <si>
    <t>TRC0202 NPSF-6AvNW &amp; NW65 PedBike Xing</t>
  </si>
  <si>
    <t>TRC0203 NPSF-9AvNW &amp; NW62 Traffic Calm</t>
  </si>
  <si>
    <t>TRC0204 NPSF-Airport Wy S Xing Impv</t>
  </si>
  <si>
    <t>TRC0205 NPSF-Brighton Neighborhood Id</t>
  </si>
  <si>
    <t>TRC0206 NPSF-Chief Sealth Pathwy Imprv</t>
  </si>
  <si>
    <t>TRC0208 NPSF-E Harrison St Plan</t>
  </si>
  <si>
    <t>TRC0209 NPSF-1st Av Bell/Blanchard Sts</t>
  </si>
  <si>
    <t>TRC0210 NPSF-GreenlakeWy N/N 52St RRFB</t>
  </si>
  <si>
    <t>TRC0211 NPSF-High Point Staircase</t>
  </si>
  <si>
    <t>TRC0212 NPSF-Licton Springs Schl Sfty</t>
  </si>
  <si>
    <t>TRC0213 NPSF-Little Saigon Crosswalks</t>
  </si>
  <si>
    <t>TRC0214 NPSF-McgilvraE &amp; EMadison Xing</t>
  </si>
  <si>
    <t>TRC0215 NPSF-Melrose Ave Ped Impv</t>
  </si>
  <si>
    <t>TRC0216 NPSF-Michigan St ITS</t>
  </si>
  <si>
    <t>TRC0217 NPSF-NE70-71 Bikelane Curbbulb</t>
  </si>
  <si>
    <t>TRC0218 NPSF-New Holly Pathways</t>
  </si>
  <si>
    <t>TRC0219 NPSF-Pioneer Sq ADA Ramps</t>
  </si>
  <si>
    <t>TRC0220 NPSF-PioneerSq SdwlkRepair Dsg</t>
  </si>
  <si>
    <t>TRC0221 NPSF-Program Management</t>
  </si>
  <si>
    <t>TRC0222 NPSF-QueenAnnDr &amp; 4AvN PedImpv</t>
  </si>
  <si>
    <t>TRC0223 NPSF-Rnier Beach Libry Pathwy</t>
  </si>
  <si>
    <t>TRC0224 NPSF-RnierBeachPath PedLightng</t>
  </si>
  <si>
    <t>TRC0225 NPSF-S ColumbianWy Speed Humps</t>
  </si>
  <si>
    <t>TRC0226 NPSF-S Hanford St Staircase</t>
  </si>
  <si>
    <t>TRC0227 NPSF-S King St Ped Imprv</t>
  </si>
  <si>
    <t>TRC0228 NPSF-S Oregon St Traffic Calm</t>
  </si>
  <si>
    <t>TRC0229 NPSF-Sand Point Elem Ped Sfty</t>
  </si>
  <si>
    <t>TRC0230 NPSF-Sand Point Wy NE Study</t>
  </si>
  <si>
    <t>TRC0231 NPSF-SW Avalon Way Landscape</t>
  </si>
  <si>
    <t>TRC0232 NPSF-Tops Schl Xing Imprv</t>
  </si>
  <si>
    <t>TRC0233 NPSF-Wa Mid School RRFB</t>
  </si>
  <si>
    <t>TRC0234 NPSF-WarenAv N QueenAnn Dr Blb</t>
  </si>
  <si>
    <t>TRC0235 NPSF-Weedin Pl NE</t>
  </si>
  <si>
    <t>TRC0236 NPSF-YVYC Review</t>
  </si>
  <si>
    <t>TRC0237 NPSF-20Av &amp; E Spruce Tree Sdwk</t>
  </si>
  <si>
    <t>TRC0238 NPSF-Mcgilvra&amp;Madison Ped Impr</t>
  </si>
  <si>
    <t>TRC0239 PMS -Curb Ramps</t>
  </si>
  <si>
    <t>TRC0240 PMS - MicroSurfacing</t>
  </si>
  <si>
    <t>TRC0241 Pay Stations Purchase</t>
  </si>
  <si>
    <t>TRC0242 Rainier Concept Planning</t>
  </si>
  <si>
    <t>TRC0243 RWR - Engineering &amp; Proj Mgmt</t>
  </si>
  <si>
    <t>TRC0244 RWR - 8516 Sand Point Way</t>
  </si>
  <si>
    <t>TRC0246 RWR - NE 98th &amp; 20th NE</t>
  </si>
  <si>
    <t>TRC0248 SSRP Large Projects</t>
  </si>
  <si>
    <t>TRC0249 SSRP Beveling</t>
  </si>
  <si>
    <t>TRC0250 SSRP Program Management</t>
  </si>
  <si>
    <t>TRC0251 SSRP Shims</t>
  </si>
  <si>
    <t>TRC0252 SSRP Spot Repairs</t>
  </si>
  <si>
    <t>TRC0253 SMM-125th/Greenwood Signal</t>
  </si>
  <si>
    <t>TRC0254 SMM-12th Ave E And E Cherry</t>
  </si>
  <si>
    <t>TRC0256 SMM-1St And Olson Pl SW</t>
  </si>
  <si>
    <t>TRC0258 SMM-2nd And Marion</t>
  </si>
  <si>
    <t>TRC0261 SMM-2nd Ave PBL Sgnls</t>
  </si>
  <si>
    <t>TRC0262 SMM-Ca Ave SW &amp; SW Laner</t>
  </si>
  <si>
    <t>TRC0263 SMM-Cali Av SW &amp; SW Erskine Wy</t>
  </si>
  <si>
    <t>TRC0264 SMM-Chelan And SW Spokane St</t>
  </si>
  <si>
    <t>TRC0265 SMM-Denny And Olive</t>
  </si>
  <si>
    <t>TRC0266 SMM-E Marginal Wy &amp; 16th Ave S</t>
  </si>
  <si>
    <t>TRC0267 SMM-Greenwood &amp; 130th</t>
  </si>
  <si>
    <t>TRC0268 SMM-Greenwood/117th</t>
  </si>
  <si>
    <t>TRC0269 SMM-Greenwood/143rd</t>
  </si>
  <si>
    <t>TRC0270 SMM-Mlk And S Bayview St</t>
  </si>
  <si>
    <t>TRC0271 SMM-Montlak/Pacific Pl Rebuild</t>
  </si>
  <si>
    <t>TRC0272 SMM-Signal Mjr Maint ProgMgmt</t>
  </si>
  <si>
    <t>TRC0273 SMM-S Spokn St &amp; W Margnl Wy</t>
  </si>
  <si>
    <t>TRC0274 Sound Transit - East Link</t>
  </si>
  <si>
    <t>TRC0275 Sound Transit - North Link</t>
  </si>
  <si>
    <t>TRC0276 Sound Transit - U Link</t>
  </si>
  <si>
    <t>TRC0278 S Lander-Drainag Protect Anyls</t>
  </si>
  <si>
    <t>TRC0279 S Lander- Grade Separation</t>
  </si>
  <si>
    <t>TRC0280 Southpark Drainage</t>
  </si>
  <si>
    <t>TRC0281 SPU Drainage Partn - Broadview</t>
  </si>
  <si>
    <t>TRC0282 SPU Drainage Partn - ProgMgmt</t>
  </si>
  <si>
    <t>TRC0283 Rehab STW-Program Mgmt</t>
  </si>
  <si>
    <t>TRC0284 Rehab STW-011 20Th Ave NE</t>
  </si>
  <si>
    <t>TRC0285 Rehab STW-041 Aurora &amp; Raye</t>
  </si>
  <si>
    <t>TRC0286 Rehab STW-041 Aurora Raye St E</t>
  </si>
  <si>
    <t>TRC0287 Rehab STW-129 S Genesee</t>
  </si>
  <si>
    <t>TRC0288 Rehab STW-157 - S Horton</t>
  </si>
  <si>
    <t>TRC0289 Rehab STW-158 Howe St &amp; Bigelo</t>
  </si>
  <si>
    <t>TRC0290 Rehab STW-161 Howe St &amp; 32nd</t>
  </si>
  <si>
    <t>TRC0291 Rehab STW-202 S Lilac St</t>
  </si>
  <si>
    <t>TRC0292 Rehab STW-288 SW Thistle/44th</t>
  </si>
  <si>
    <t>TRC0293 Rehab STW-307 W Wheeler Btw 13</t>
  </si>
  <si>
    <t>TRC0294 Rehab STW-311 W Wheeler Btw Gl</t>
  </si>
  <si>
    <t>TRC0295 Rehab STW-50 W Bertona &amp; 15th</t>
  </si>
  <si>
    <t>TRC0297 TCI - 45th/Market St - Phase 3</t>
  </si>
  <si>
    <t>TRC0298 TCI - Ballard</t>
  </si>
  <si>
    <t>TRC0300 TCI - C-Line Extension P1</t>
  </si>
  <si>
    <t>TRC0304 TCI - Program Management</t>
  </si>
  <si>
    <t>TRC0305 TCI - Strategic Spot Impr</t>
  </si>
  <si>
    <t>TRC0306 TCI - Multi-Modal Corridors</t>
  </si>
  <si>
    <t>TRC0310 Urban Forestry Capital Estab</t>
  </si>
  <si>
    <t>TRC0315 SDOTADA-Program Mgmt</t>
  </si>
  <si>
    <t>TRC0316 SDOTADA-Crew Ramps-Deliver2016</t>
  </si>
  <si>
    <t>TRC0317 ADAImprv- Program Mgmt</t>
  </si>
  <si>
    <t>TRC0318 SDOTADA-ContractRamps-Dlvr2016</t>
  </si>
  <si>
    <t>TRC0319 ADAImprv- DOJRamps - 2016Alloc</t>
  </si>
  <si>
    <t>TRC0321 SDOTADA-ContractRamps-Dlvr2017</t>
  </si>
  <si>
    <t>TRC0322 SDOTADA-AMMRamps -Deliver2016</t>
  </si>
  <si>
    <t>TRC0323 NSWP-Program Mgmt</t>
  </si>
  <si>
    <t>TRC0324 NSWP-NE 110th St</t>
  </si>
  <si>
    <t>TRC0325 NSWP-S Orcas St Sidewalk</t>
  </si>
  <si>
    <t>TRC0326 NSWP-SW Holgate</t>
  </si>
  <si>
    <t>TRC0327 NSWP-NE 83rd St</t>
  </si>
  <si>
    <t>TRC0328 NSWP-NE 95th St</t>
  </si>
  <si>
    <t>TRC0329 NSWP-NE Northlake Way</t>
  </si>
  <si>
    <t>TRC0330 NSWP-SW 105th St Sidewalk</t>
  </si>
  <si>
    <t>TRC0331 NSWP-Yesler Terrace Sidewalks</t>
  </si>
  <si>
    <t>TRC0332 NSWP-Grnwd Av N (N137-N145)-ES</t>
  </si>
  <si>
    <t>TRC0333 NSWP-30 Av NE (130th-137th)</t>
  </si>
  <si>
    <t>TRC0334 NSWP-Grnwd Av N (N136-N145)-WS</t>
  </si>
  <si>
    <t>TRC0335 NSWP-N92nd Sdwlk/Xing Imprv</t>
  </si>
  <si>
    <t>TRC0336 NSWP-Rainier Vw ElemSchoolSfty</t>
  </si>
  <si>
    <t>TRC0337 NSWP-NE 98th St</t>
  </si>
  <si>
    <t>TRC0338 NSWP-Low Cost Sidewalks</t>
  </si>
  <si>
    <t>TRC0339 PMP SS-Program Mgmt</t>
  </si>
  <si>
    <t>TRC0340 PMP SS-Bcn Hill NGW</t>
  </si>
  <si>
    <t>TRC0341 PMP SS-Beach Sq NGW</t>
  </si>
  <si>
    <t>TRC0342 PMP SS-GreenwoodSchool Sft Imp</t>
  </si>
  <si>
    <t>TRC0343 PMP SS-SRTS Small Projects</t>
  </si>
  <si>
    <t>TRC0345 PMP SS-Youth Voice SRTS Projs</t>
  </si>
  <si>
    <t>TRC0346 PMP SS-Camera Install Support</t>
  </si>
  <si>
    <t>TRC0347 PMP SS-Beacn/Clmg/Xing Imprv</t>
  </si>
  <si>
    <t>TRC0348 PMP SS-Sea Mid School TrafSfty</t>
  </si>
  <si>
    <t>TRC0349 BMP UTB-Strategies &amp; Actions</t>
  </si>
  <si>
    <t>TRC0351 BMP UTB-Bike Trail Spot Imps</t>
  </si>
  <si>
    <t>TRC0352 BMP UTB-Bike Rack Installation</t>
  </si>
  <si>
    <t>TRC0353 BMP UTB-Bike Safety Projects</t>
  </si>
  <si>
    <t>TRC0355 PMP CI -Program Mgmt</t>
  </si>
  <si>
    <t>TRC0359 PMP CI -Beacon Othello/38th</t>
  </si>
  <si>
    <t>TRC0360 PMP CI -PMP Small Projects</t>
  </si>
  <si>
    <t>TRC0361 PMP CI -Rainier And Cornell</t>
  </si>
  <si>
    <t>TRC0362 PMP CI -Swift/Myrt AAC-SSRP</t>
  </si>
  <si>
    <t>TRC0364 PMP CI -2011AccsblPedSignlGrnt</t>
  </si>
  <si>
    <t>TRC0365 PMP CI -Rainer Beach Ped Imprv</t>
  </si>
  <si>
    <t>TRC0366 BMP PBL- Program Mgmt</t>
  </si>
  <si>
    <t>TRC0367 BMP PBL-2nd Av PBL N Extension</t>
  </si>
  <si>
    <t>TRC0368 BMP PBL- 4th Ave Ph 1</t>
  </si>
  <si>
    <t>TRC0370 BMP PBL- Roosevelt PBL</t>
  </si>
  <si>
    <t xml:space="preserve">TRC0371 BMP PBL- Admiral Way SW </t>
  </si>
  <si>
    <t>TRC0372 BMP PBL- Bridge Bike Sfty</t>
  </si>
  <si>
    <t>TRC0373 BMP PBL-Bdg Bike Sfty-RsvltAAC</t>
  </si>
  <si>
    <t>TRC0374 BMP PBL- Meridian Buffered BL</t>
  </si>
  <si>
    <t>TRC0375 BMP PBL- N 92nd St PBL</t>
  </si>
  <si>
    <t>TRC0376 BMP PBL- NE 65 St VZ Sfty Cor</t>
  </si>
  <si>
    <t xml:space="preserve">TRC0377 BMP PBL- Rainier Ave S </t>
  </si>
  <si>
    <t>TRC0378 BMP PBL- SODO Trail</t>
  </si>
  <si>
    <t>TRC0379 BMP PBL- Spokane Sidewalk</t>
  </si>
  <si>
    <t>TRC0380 BMP PBL- 7th Avenue</t>
  </si>
  <si>
    <t>TRC0381 BMP PBL- Swift/Myrtle/Othello</t>
  </si>
  <si>
    <t>TRC0382 BMP PBL- Gilman Ave W PBL</t>
  </si>
  <si>
    <t>TRC0383 BMP PBL- S Dearborn St</t>
  </si>
  <si>
    <t>TRC0384 BMP PBL- 4th Ave Ph 2</t>
  </si>
  <si>
    <t>TRC0385 BMP GW- Program Mgmt</t>
  </si>
  <si>
    <t>TRC0386 BMP GW- Ballard/17th NGW</t>
  </si>
  <si>
    <t>TRC0387 BMP GW-Delridge/21St NGW</t>
  </si>
  <si>
    <t>TRC0389 BMP GW- Wallingford Greenway</t>
  </si>
  <si>
    <t>TRC0390 BMP GW- 39th Ave NE NGW</t>
  </si>
  <si>
    <t>TRC0391 BMP GW- Rainier Valley N/S NGW</t>
  </si>
  <si>
    <t>TRC0392 BMP GW-Central Columbia NGW</t>
  </si>
  <si>
    <t>TRC0393 BMP GW-N Seattle N 92nd St NGW</t>
  </si>
  <si>
    <t>TRC0394 BMP GW- SRTS NGW Connections</t>
  </si>
  <si>
    <t>TRC0395 BMP GW- Wedgwood Greenway Spur</t>
  </si>
  <si>
    <t>TRC0396 BMP GW- Ballard NGW - NW 83St</t>
  </si>
  <si>
    <t>TRC0397 BMP GW-ID NGW - S King St</t>
  </si>
  <si>
    <t>TRC0398 BMP GW- WSeattle NGW - 34AvSW</t>
  </si>
  <si>
    <t>TRC0399 BMP GW-BcnHillNGW-CheastyBlvdS</t>
  </si>
  <si>
    <t>TRC0400 BMP GW-Central Ridge NGW</t>
  </si>
  <si>
    <t>TRC0401 BMP GW-LakeWashingtonLoop NGW</t>
  </si>
  <si>
    <t>TRC0402 BMP GW-N Seattle NE 103St NGW</t>
  </si>
  <si>
    <t>TRC0403 VZ-(35SW) Phase 2</t>
  </si>
  <si>
    <t xml:space="preserve">TRC0404 VZ-(LCWY) /20th NE Sig Enh </t>
  </si>
  <si>
    <t xml:space="preserve">TRC0405 VZ-(LCWY)2015 Sdwlk Pgm-Pkg 4 </t>
  </si>
  <si>
    <t>TRC0406 VZ-(LCWY) Bus Stop Impr</t>
  </si>
  <si>
    <t>TRC0407 VZ-(RNAS)Traffic Calm &amp;SpotImp</t>
  </si>
  <si>
    <t>TRC0408 VZ-Banner Way NE</t>
  </si>
  <si>
    <t>TRC0409 VZ-Spd Lim Reduction Corr</t>
  </si>
  <si>
    <t>TRC0410 VZ-(12AV)</t>
  </si>
  <si>
    <t>TRC0411 VZ-(GWPY) Holman</t>
  </si>
  <si>
    <t>TRC0412 VZ-(LCWY) 2016 Ped Xing Imp</t>
  </si>
  <si>
    <t>TRC0413 VZ-(LCWY) NE 95th - Design</t>
  </si>
  <si>
    <t>TRC0414 VZ-(RNAS) Phase 2</t>
  </si>
  <si>
    <t>TRC0415 VZ-CBD Safety Improvements</t>
  </si>
  <si>
    <t>TRC0417 VZ-Spot Work &amp; Speed Limits</t>
  </si>
  <si>
    <t>TRC0418 VZ-(SPWY) Safety Project</t>
  </si>
  <si>
    <t>TRC0419 VZ-(LCWY) NE 24th Ave Signal</t>
  </si>
  <si>
    <t>TRC0420 VZ-Spot Impr - 2017 Ctrct1</t>
  </si>
  <si>
    <t>TRC0422 C&amp;N Alley Improv- Canton</t>
  </si>
  <si>
    <t>TRC0423 C&amp;N Alley Improv- Nord</t>
  </si>
  <si>
    <t>TRC0424 C&amp;N Alley Improv-PioneerPassge</t>
  </si>
  <si>
    <t>TRC0425 AWVR - Alaskan Way Seawall</t>
  </si>
  <si>
    <t>TRC0426 AWVR - Central Waterfront</t>
  </si>
  <si>
    <t>TRC0427 AWVR - Construction Mitigation</t>
  </si>
  <si>
    <t>TRC0428 AWVR - COS Vs. STP Lawsuit</t>
  </si>
  <si>
    <t>TRC0429 AWVR - Parking Program</t>
  </si>
  <si>
    <t>TRC0430 AWVR - Project Services - City</t>
  </si>
  <si>
    <t>TRC0431 AWVR - Project Services State</t>
  </si>
  <si>
    <t>TRC0432 AWVR -SR99TunnelMonitoring Iap</t>
  </si>
  <si>
    <t>TRC0433 AWMC - Utility Coordination</t>
  </si>
  <si>
    <t>TRC0434 AWMC - Alaskan Wy Main Corrdr</t>
  </si>
  <si>
    <t>TRC0435 AWMC - Main Corr Environmental</t>
  </si>
  <si>
    <t>TRC0436 AWMC - Marion St Bridge</t>
  </si>
  <si>
    <t>TRC0437 AWMC - Parks Piers</t>
  </si>
  <si>
    <t>TRC0438 AWMC - Pergola Restoration</t>
  </si>
  <si>
    <t>TRC0439 AWMC - Program Mgmt</t>
  </si>
  <si>
    <t>TRC0440 AWMC - Promenade</t>
  </si>
  <si>
    <t>TRC0441 AWMC - ROW Acquisition</t>
  </si>
  <si>
    <t>TRC0442 AWMC - Seawall CWF</t>
  </si>
  <si>
    <t>TRC0443 AWMC - Telecom Duct Bank</t>
  </si>
  <si>
    <t>TRC0444 AWMC - Washington Landings</t>
  </si>
  <si>
    <t>TRC0445 CWF OL&amp;EW Cnct - Bell St</t>
  </si>
  <si>
    <t>TRC0446 CWF OL&amp;EW Cnct - Overlook Walk</t>
  </si>
  <si>
    <t>TRC0447 CWF OL&amp;EW Cnct - Prog Mgmt</t>
  </si>
  <si>
    <t>TRC0448 CWF OL&amp;EW Cnct - Pike/PineImpv</t>
  </si>
  <si>
    <t>TRC0449 CWF OL&amp;EW Cnct - PioneerSqStrs</t>
  </si>
  <si>
    <t>TRC0451 Freight-RailRoad2017 SL-Clay</t>
  </si>
  <si>
    <t>TRC0452 NTC-2018 Traffic Calming Proj2</t>
  </si>
  <si>
    <t>TRC0453 SSRP Curb Ramps</t>
  </si>
  <si>
    <t>TRC0454 NTC-2018 Traffic Calming Proj4</t>
  </si>
  <si>
    <t>TRC0455 NSWP-35th Av SW (Alternate B)</t>
  </si>
  <si>
    <t>TRC0456 NSWP-37th Ave S</t>
  </si>
  <si>
    <t>TRC0457 NSWP-Cloverdale</t>
  </si>
  <si>
    <t>TRC0458 NSWP-E Lynn St &amp; 19th Av E</t>
  </si>
  <si>
    <t>TRC0459 Freight- Master Plan Implem</t>
  </si>
  <si>
    <t>TRC0500 Freight- Project Develpmt</t>
  </si>
  <si>
    <t>TRC0501 NSWP-SW Orchard St &amp;18th Av SW</t>
  </si>
  <si>
    <t>TRC0502 NTC-2018 Traffic Calming Proj3</t>
  </si>
  <si>
    <t>TRC0503 Freight-Railroad Industrial Av</t>
  </si>
  <si>
    <t>TRC0504 CWF OL&amp;EW Cnct - Union St</t>
  </si>
  <si>
    <t>TRC0505 ST North Link - Admin Coord</t>
  </si>
  <si>
    <t>TRC0506 ST North Link - Signal Mods</t>
  </si>
  <si>
    <t>TRC0507 SSRP Program Support</t>
  </si>
  <si>
    <t>TRC0508 SSRP Curb Repair</t>
  </si>
  <si>
    <t>TRC0509 NLP-2019-21 Prog Mgmt</t>
  </si>
  <si>
    <t>TRC0510 Paint BRG-032 Sea Blvd S</t>
  </si>
  <si>
    <t>TRC0511 Paint BRG-A Location X</t>
  </si>
  <si>
    <t>TRC0512 Paint BRG-B Location X</t>
  </si>
  <si>
    <t>TRC0513 Paint BRG-C Location X</t>
  </si>
  <si>
    <t>TRC0514 NE 43rd Street Improvements</t>
  </si>
  <si>
    <t>TRC0515 First Hill Streetcar</t>
  </si>
  <si>
    <t>TRC0516 Street Lighting Program</t>
  </si>
  <si>
    <t>TRC0517 Misc, Unforeseen &amp; Emergencies</t>
  </si>
  <si>
    <t>TRC0518 Market/45th MultimodalCorridor</t>
  </si>
  <si>
    <t>TRC0519 Rt 40 Northgate to DT Imprvmts</t>
  </si>
  <si>
    <t>TRC0520 Ballard-DT HTC &amp; ShipCanalXing</t>
  </si>
  <si>
    <t xml:space="preserve">TRC0521 Rt 48th South Electrification </t>
  </si>
  <si>
    <t>TRC0522 Graham Street Station</t>
  </si>
  <si>
    <t>TRC0523 Magnolia Bridge Replacement</t>
  </si>
  <si>
    <t>TRC0525 Bridge System Enchancements</t>
  </si>
  <si>
    <t>TRC0526 BurkeGilmanTrl Imprvmts-UW</t>
  </si>
  <si>
    <t>TRC0527 SR-520 Project</t>
  </si>
  <si>
    <t>TRC0528 Sound Transit 3 (ST3)</t>
  </si>
  <si>
    <t>TRC0529 Lynnwood Link Extension</t>
  </si>
  <si>
    <t>TRC0530 Heavy Haul Network</t>
  </si>
  <si>
    <t>TRC0532 Adaptive Signal Control Impl</t>
  </si>
  <si>
    <t>TRC0533 Lake Union Ship Canal Trail</t>
  </si>
  <si>
    <t>TRC0534 South Lake Union Streetcar</t>
  </si>
  <si>
    <t>TRD0001 DS BTG(CPT10%) 23AvCor Impvmts</t>
  </si>
  <si>
    <t>TRD0002 DS BTG(CPT10%) AW Main Crdr</t>
  </si>
  <si>
    <t>TRD0003 DS BTG(CPT10%) AAC Program</t>
  </si>
  <si>
    <t>TRD0004 DS BTG(CPT10%) BrdgRehab&amp;Rpc</t>
  </si>
  <si>
    <t>TRD0005 DS BTG(CPT10%) BrdgSeismicPrg</t>
  </si>
  <si>
    <t>TRD0006 DS BTG(CPT10%) C/DLinePhaseI</t>
  </si>
  <si>
    <t>TRD0007 DS BTG(CPT10%) CenterCityStCar</t>
  </si>
  <si>
    <t>TRD0008 DS BTG(CPT10%) Chshahd LkUnTrl</t>
  </si>
  <si>
    <t>TRD0009 DS BTG(CPT10%) ElliotBySeaWall</t>
  </si>
  <si>
    <t>TRD0010 DS BTG(CPT10%) King St Station</t>
  </si>
  <si>
    <t>TRD0011 DS BTG(CPT10%) LanderGradeXing</t>
  </si>
  <si>
    <t>TRD0012 DS BTG(CPT10%) LindenStImpvmts</t>
  </si>
  <si>
    <t>TRD0013 DS BTG(CPT10%) MercerCorrdr-E</t>
  </si>
  <si>
    <t>TRD0014 DS BTG(CPT10%) MercerCorrdr-W</t>
  </si>
  <si>
    <t>TRD0015 DS BTG(CPT10%) NewSidewalkProg</t>
  </si>
  <si>
    <t>TRD0016 DS BTG(CPT10%) Pay Stations</t>
  </si>
  <si>
    <t>TRD0017 DS BTG(CPT10%) PWTF-EMarginal</t>
  </si>
  <si>
    <t>TRD0018 DS BTG(CPT10%) SpokanStViaduct</t>
  </si>
  <si>
    <t>TRD0019 DS REET I AWV &amp; Seawall</t>
  </si>
  <si>
    <t>TRD0020 DS REET I Brdg Rehab&amp;Replace</t>
  </si>
  <si>
    <t>TRD0021 DS REET I SR-519 CRS</t>
  </si>
  <si>
    <t>TRD0022 DS Gas Tax PWTF Loan Repayment</t>
  </si>
  <si>
    <t xml:space="preserve">TRD0023 DS NewCPT 2.5% AW Main Crdr </t>
  </si>
  <si>
    <t>TRD0024 DS NewCPT 2.5% AWV &amp; Seawall</t>
  </si>
  <si>
    <t>TRD0025 DS NewCPT 2.5% ElliotBySeaWall</t>
  </si>
  <si>
    <t>TRD0026 DS NewCPT 2.5% Habitat Beach</t>
  </si>
  <si>
    <t>TRD0027 DS NewCPT 2.5% MercerCorrdr-W</t>
  </si>
  <si>
    <t>TRD0028 DS NewCPT 2.5% WF-OverlookWalk</t>
  </si>
  <si>
    <t>TRD0029 DS SDOT/GF AWV &amp; Seawall</t>
  </si>
  <si>
    <t>TRD0030 DS SDOT/GF Pay Stations</t>
  </si>
  <si>
    <t>TRD0031 DS SDOT/GF SR-519</t>
  </si>
  <si>
    <t>TRG0001 1st Hill - Streetcar Maint</t>
  </si>
  <si>
    <t>TRG0002 1st Hill - O&amp;M - Streetcar Ops</t>
  </si>
  <si>
    <t>TRG0004 Area And TOD Planning</t>
  </si>
  <si>
    <t>TRG0005 Structures Engineering</t>
  </si>
  <si>
    <t>TRG0007 Brdg/Struct Mtc - Structures</t>
  </si>
  <si>
    <t>TRG0009 Brdg/Struct Mtc - ProgMgmt</t>
  </si>
  <si>
    <t>TRG0010 Brdg/Struct Mtc - Special</t>
  </si>
  <si>
    <t>TRG0011 Brdg/Strct Ops - Ballard Brdg</t>
  </si>
  <si>
    <t>TRG0012 Brdg/Strct Ops - Fremont Brdg</t>
  </si>
  <si>
    <t>TRG0013 Brdg/Strct Ops - SpokaneStBrdg</t>
  </si>
  <si>
    <t>TRG0014 Brdg/Strct Ops -UniversityBrdg</t>
  </si>
  <si>
    <t>TRG0015 Rev &amp; Cap Development</t>
  </si>
  <si>
    <t>TRG0016 CCP-CenterCity Mobility Plan</t>
  </si>
  <si>
    <t>TRG0018 CCP-Citywide&amp;CommunityPlanning</t>
  </si>
  <si>
    <t>TRG0019 CCP-Georgetown/Duwamish Circ</t>
  </si>
  <si>
    <t xml:space="preserve">TRG0020 CCP-High Capacity Transit </t>
  </si>
  <si>
    <t>TRG0021 CCP-JudkinsPark Station Access</t>
  </si>
  <si>
    <t xml:space="preserve">TRG0022 CCP-Mt Baker Station  </t>
  </si>
  <si>
    <t xml:space="preserve">TRG0023 CCP-Roosevelt Station  </t>
  </si>
  <si>
    <t>TRG0024 Community Access Pkg Program</t>
  </si>
  <si>
    <t>TRG0026 Corridor Projects Development</t>
  </si>
  <si>
    <t>TRG0027 Corridor Projects Maintenance</t>
  </si>
  <si>
    <t>TRG0030 Curb&amp;Pave - Bldg &amp; Grnds Maint</t>
  </si>
  <si>
    <t>TRG0031 Curb&amp;Pave - Crosswalk Maint</t>
  </si>
  <si>
    <t>TRG0032 Curb&amp;Pave - Delineator Posts</t>
  </si>
  <si>
    <t>TRG0033 Curb&amp;Pave - Lane Line Maint</t>
  </si>
  <si>
    <t>TRG0034 Curb&amp;Pave - Other Maintenance</t>
  </si>
  <si>
    <t>TRG0035 Curbspace Management</t>
  </si>
  <si>
    <t>TRG0036 Downtown Transp Alliance</t>
  </si>
  <si>
    <t>TRG0038 EmergencyEvent-ResponseStandby</t>
  </si>
  <si>
    <t>TRG0039 EmergencyEvent- XX/XX/XXXX 1</t>
  </si>
  <si>
    <t>TRG0040 EmergencyEvent- XX/XX/XXXX 2</t>
  </si>
  <si>
    <t>TRG0041 Emergency Svcs- Response</t>
  </si>
  <si>
    <t>TRG0042 Emergency Svcs- Slide Control</t>
  </si>
  <si>
    <t>TRG0043 Emergency Svcs- Snow/IceRemove</t>
  </si>
  <si>
    <t>TRG0044 Emergency Svcs- Spill Cleanup</t>
  </si>
  <si>
    <t>TRG0045 EMI - CAMPUS PKWY PLNG SCOPE</t>
  </si>
  <si>
    <t>TRG0046 EMI - ST3 CITY COORDINATION</t>
  </si>
  <si>
    <t>TRG0047 Engineering Support Services</t>
  </si>
  <si>
    <t>TRG0048 External Parking</t>
  </si>
  <si>
    <t>TRG0049 Trans Studies -FreightMobility</t>
  </si>
  <si>
    <t>TRG0050 GIS</t>
  </si>
  <si>
    <t>TRG0052 Encampments CleanUp-FredHutch</t>
  </si>
  <si>
    <t>TRG0053 Illegal Encampments Clean Up</t>
  </si>
  <si>
    <t>TRG0054 Encampments CleanUp-ProgMgmt</t>
  </si>
  <si>
    <t>TRG0055 Encampments CleanUp-RainierCor</t>
  </si>
  <si>
    <t>TRG0057 KSS -  Zipcar Revenue</t>
  </si>
  <si>
    <t>TRG0058 KSS - Station Maint</t>
  </si>
  <si>
    <t>TRG0059 KSS - Amtrak Lease</t>
  </si>
  <si>
    <t>TRG0060 Landscape Architect Services</t>
  </si>
  <si>
    <t>TRG0061 Informal Landscape Mtce</t>
  </si>
  <si>
    <t>TRG0062 Main Ops - Bldg &amp; Grnds Maint</t>
  </si>
  <si>
    <t>TRG0063 Main Ops -EmrgncyLaborerSupprt</t>
  </si>
  <si>
    <t>TRG0064 Main Ops - Side Sewer Cleanout</t>
  </si>
  <si>
    <t>TRG0065 Main Ops - MOD Reimb Write-Off</t>
  </si>
  <si>
    <t>TRG0066 Main Ops - SPD Assistance</t>
  </si>
  <si>
    <t>TRG0068 New Mobility Initiatives</t>
  </si>
  <si>
    <t>TRG0069 NSF/CRF Program Mgmt</t>
  </si>
  <si>
    <t>TRG0072 PP Maint - Operations</t>
  </si>
  <si>
    <t>TRG0073 PP Maint - Special Projects</t>
  </si>
  <si>
    <t>TRG0077 PP Maint - Financial Fees Paid</t>
  </si>
  <si>
    <t>TRG0078 Parking Prog - Studies</t>
  </si>
  <si>
    <t>TRG0080 PavementMgmtSupp - Eng &amp; Maint</t>
  </si>
  <si>
    <t>TRG0081 Pay by Phone</t>
  </si>
  <si>
    <t>TRG0082 ADA Compliance</t>
  </si>
  <si>
    <t>TRG0083 Ped Lighting - Str Light Eng</t>
  </si>
  <si>
    <t>TRG0084 PHR-EmrgncyRepairs TempUtilCts</t>
  </si>
  <si>
    <t>TRG0085 PHR-Pothole Repair</t>
  </si>
  <si>
    <t>TRG0086 PHR-Pothole Repair NE</t>
  </si>
  <si>
    <t>TRG0087 PHR-Pothole Repair NW</t>
  </si>
  <si>
    <t>TRG0088 PHR-Pothole Repair SW</t>
  </si>
  <si>
    <t>TRG0089 Prev Maint - Crack Seal</t>
  </si>
  <si>
    <t>TRG0090 Prev Maint - CurbRampConstrctn</t>
  </si>
  <si>
    <t>TRG0091 Prev Maint - Curb Ramp Design</t>
  </si>
  <si>
    <t xml:space="preserve">TRG0092 Prev Maint - Dust Palliative </t>
  </si>
  <si>
    <t>TRG0093 Prev Maint - Surface Prep</t>
  </si>
  <si>
    <t>TRG0130 STBD Low Income Transit Access</t>
  </si>
  <si>
    <t xml:space="preserve">TRG0131 STBD Planning &amp; Analysis </t>
  </si>
  <si>
    <t>TRG0132 STBD VLF Rebate</t>
  </si>
  <si>
    <t>TRG0134 STBD Transit Service - Seattle</t>
  </si>
  <si>
    <t>TRG0135 SignMaint- Bldg &amp; Grnds Maint</t>
  </si>
  <si>
    <t>TRG0136 SignMaint- Graffiti Removal</t>
  </si>
  <si>
    <t>TRG0137 SignMaint-Loc Emphasis Cleanup</t>
  </si>
  <si>
    <t>TRG0138 SignMaint- RegulatorySignMaint</t>
  </si>
  <si>
    <t>TRG0139 SignMaint- St Name Sign Maint</t>
  </si>
  <si>
    <t>TRG0140 SignMaint- Zone Sign Painting</t>
  </si>
  <si>
    <t>TRG0141 SignalMaint - Asset Ownership</t>
  </si>
  <si>
    <t>TRG0142 SignalMaint - Beacon Maint</t>
  </si>
  <si>
    <t>TRG0143 SignalMaint - ITS Maintenance</t>
  </si>
  <si>
    <t>TRG0144 Signal Maintenance</t>
  </si>
  <si>
    <t>TRG0145 SignalMaint - Electrical Bill</t>
  </si>
  <si>
    <t>TRG0146 Signal Ops - Program Mgmt</t>
  </si>
  <si>
    <t>TRG0147 Signal Ops  - Central</t>
  </si>
  <si>
    <t>TRG0148 Signal Ops - Downtown</t>
  </si>
  <si>
    <t>TRG0149 Signal Ops - North</t>
  </si>
  <si>
    <t>TRG0150 Signal Ops - South</t>
  </si>
  <si>
    <t>TRG0151 Signal Ops -SignalOptimization</t>
  </si>
  <si>
    <t>TRG0152 SLU - Streetcar Maint</t>
  </si>
  <si>
    <t>TRG0153 SLU - Streetcar Ops</t>
  </si>
  <si>
    <t>TRG0154 Traffic Control - Hempfest</t>
  </si>
  <si>
    <t>TRG0155 Traffic Control - Parade/Civic</t>
  </si>
  <si>
    <t xml:space="preserve">TRG0156 Traffic Control - ProStadiums </t>
  </si>
  <si>
    <t xml:space="preserve">TRG0157 Traffic Control - UW Events </t>
  </si>
  <si>
    <t>TRG0158 Brdg/Struct Mtc - Elevators</t>
  </si>
  <si>
    <t>TRG0159 StVac-7Th Av S Spu Flood Ctrl</t>
  </si>
  <si>
    <t>TRG0160 StVac-Blk 21 /Bell &amp; Blanchard</t>
  </si>
  <si>
    <t>TRG0161 StVac-Blk 3 Norris Add W Sea</t>
  </si>
  <si>
    <t>TRG0165 StVac-N Xfer Sta/Carr Pl N</t>
  </si>
  <si>
    <t>TRG0166 StVac-Pontius/Denny Substa</t>
  </si>
  <si>
    <t>TRG0167 StVac-SPU S Transfer Station</t>
  </si>
  <si>
    <t>TRG0168 StVac-St Vacation Activities</t>
  </si>
  <si>
    <t>TRG0170 Stormwater Pollution Control</t>
  </si>
  <si>
    <t>TRG0171 StCleaningSrvcs-Routine-PBLs</t>
  </si>
  <si>
    <t>TRG0172 StCleaningSrvcs-Routine-Alleys</t>
  </si>
  <si>
    <t>TRG0173 StCleaningSrvcs-Cleaning-Strts</t>
  </si>
  <si>
    <t>TRG0174 StCleaningSrvcs-WaterQuality</t>
  </si>
  <si>
    <t>TRG0175 SSM - Law Use Street Rpr</t>
  </si>
  <si>
    <t>TRG0176 SSM - Asphalt Spot Repair</t>
  </si>
  <si>
    <t>TRG0177 SSM - Complaint Response</t>
  </si>
  <si>
    <t>TRG0178 SSM - Concrete Spot Repair</t>
  </si>
  <si>
    <t>TRG0179 SSM - Other Repair/Response</t>
  </si>
  <si>
    <t>TRG0180 SSM - Void Response/Repair</t>
  </si>
  <si>
    <t>TRG0182 Summer Parkways</t>
  </si>
  <si>
    <t>TRG0183 Traffic Control Review</t>
  </si>
  <si>
    <t>TRG0184 TMP - New Mobility Initiatives</t>
  </si>
  <si>
    <t>TRG0186 TMP - NavSeattle</t>
  </si>
  <si>
    <t>TRG0187 TMP - Transit Screens</t>
  </si>
  <si>
    <t>TRG0188 Trfc D&amp;R - Bike &amp; Ped Volume</t>
  </si>
  <si>
    <t>TRG0189 Trfc D&amp;R -CollisionAnyls&amp;Rsrch</t>
  </si>
  <si>
    <t>TRG0190 Trfc D&amp;R - Community Relations</t>
  </si>
  <si>
    <t>TRG0191 Trfc D&amp;R -Electric Ctrl Filing</t>
  </si>
  <si>
    <t>TRG0192 Collision Evaluation</t>
  </si>
  <si>
    <t>TRG0193 Trfc D&amp;R - Traffic Data Systms</t>
  </si>
  <si>
    <t>TRG0194 Trfc D&amp;R - Traffic Info Assets</t>
  </si>
  <si>
    <t>TRG0195 Trfc D&amp;R - Traffic Studies</t>
  </si>
  <si>
    <t>TRG0196 T&amp;WW Maint - Bike Path</t>
  </si>
  <si>
    <t>TRG0197 T&amp;WW Maint - Trail</t>
  </si>
  <si>
    <t>TRG0198 Trans Ops-Bike Investigation</t>
  </si>
  <si>
    <t>TRG0199 Trans Ops-CBD/CWF Traffic Mgmt</t>
  </si>
  <si>
    <t>TRG0200 Trans Ops-Nbhd Planning</t>
  </si>
  <si>
    <t>TRG0201 Trans Ops-Ped Safety Invstgtn</t>
  </si>
  <si>
    <t>TRG0202 Trans Ops-SchoolSafety PrgMgmt</t>
  </si>
  <si>
    <t>TRG0203 Trans Ops-Street Class &amp; Name</t>
  </si>
  <si>
    <t>TRG0204 Trans Ops-Program Mgmt</t>
  </si>
  <si>
    <t>TRG0205 Trans Ops-Spot Investigation</t>
  </si>
  <si>
    <t>TRG0206 Trans Ops-Wayfinding Maint</t>
  </si>
  <si>
    <t>TRG0207 TOC - 24X7 Capable</t>
  </si>
  <si>
    <t>TRG0208 TOC - Operations</t>
  </si>
  <si>
    <t>TRG0209 TOC - Service Agreements</t>
  </si>
  <si>
    <t>TRG0210 TOC - Technical Support</t>
  </si>
  <si>
    <t>TRG0213 TransSpotImpv-Channelization</t>
  </si>
  <si>
    <t>TRG0214 TransSpotImpv-Community Xwalks</t>
  </si>
  <si>
    <t>TRG0216 TransSpotImpv-Guardrl&amp;CrshCush</t>
  </si>
  <si>
    <t>TRG0217 SignalMaint - Spot Improvement</t>
  </si>
  <si>
    <t>TRG0218 TransSpotImpv- Program Mgmt</t>
  </si>
  <si>
    <t>TRG0219 TransSpotImpv- Implementation</t>
  </si>
  <si>
    <t>TRG0220 Trans Studies - W Seattle Brdg</t>
  </si>
  <si>
    <t>TRG0224 Trav Opts - DT Transp Alliance</t>
  </si>
  <si>
    <t>TRG0232 T P&amp;E - CommercialLoadZns</t>
  </si>
  <si>
    <t>TRG0233 T P&amp;E -CommercialVehiclEnfrcmt</t>
  </si>
  <si>
    <t>TRG0234 T P&amp;E - Cnstrctn Site Enfrcmts</t>
  </si>
  <si>
    <t>TRG0235 T P&amp;E -TrafficCtrl Plan Review</t>
  </si>
  <si>
    <t>TRG0236 T P&amp;E - Truck Permits</t>
  </si>
  <si>
    <t>TRG0237 Urban Design</t>
  </si>
  <si>
    <t>TRG0238 UFFO - Annual Operations</t>
  </si>
  <si>
    <t>TRG0240 UFFO - Tree Unit 1</t>
  </si>
  <si>
    <t>TRG0241 UFFO - Tree Unit 10</t>
  </si>
  <si>
    <t>TRG0242 UFFO - Tree Unit 11</t>
  </si>
  <si>
    <t>TRG0243 UFFO - Tree Unit 12</t>
  </si>
  <si>
    <t>TRG0244 UFFO - Tree Unit 13</t>
  </si>
  <si>
    <t>TRG0245 UFFO - Tree Unit 14</t>
  </si>
  <si>
    <t>TRG0246 UFFO - Tree Unit 15</t>
  </si>
  <si>
    <t>TRG0247 UFFO - Tree Unit 16</t>
  </si>
  <si>
    <t>TRG0248 UFFO - Tree Unit 17</t>
  </si>
  <si>
    <t>TRG0249 UFFO - Tree Unit 18</t>
  </si>
  <si>
    <t>TRG0250 UFFO - Tree Unit 19</t>
  </si>
  <si>
    <t>TRG0251 UFFO - Tree Unit 2</t>
  </si>
  <si>
    <t>TRG0252 UFFO - Tree Unit 20</t>
  </si>
  <si>
    <t>TRG0253 UFFO - Tree Unit 21</t>
  </si>
  <si>
    <t>TRG0254 UFFO - Tree Unit 22</t>
  </si>
  <si>
    <t>TRG0255 UFFO - Tree Unit 23</t>
  </si>
  <si>
    <t>TRG0256 UFFO - Tree Unit 24</t>
  </si>
  <si>
    <t>TRG0257 UFFO - Tree Unit 25</t>
  </si>
  <si>
    <t>TRG0258 UFFO - Tree Unit 26</t>
  </si>
  <si>
    <t>TRG0259 UFFO - Tree Unit 27</t>
  </si>
  <si>
    <t>TRG0260 UFFO - Tree Unit 3</t>
  </si>
  <si>
    <t>TRG0261 UFFO - Tree Unit 4</t>
  </si>
  <si>
    <t>TRG0262 UFFO - Tree Unit 5</t>
  </si>
  <si>
    <t>TRG0263 UFFO - Tree Unit 6</t>
  </si>
  <si>
    <t>TRG0264 UFFO - Tree Unit 7</t>
  </si>
  <si>
    <t>TRG0265 UFFO - Tree Unit 8</t>
  </si>
  <si>
    <t>TRG0266 UFFO - Tree Unit 9</t>
  </si>
  <si>
    <t>TRG0268 UF -Arborist Services</t>
  </si>
  <si>
    <t>TRG0270 Waterway Ops- Derelict Removal</t>
  </si>
  <si>
    <t>TRG0271 Waterway Ops- State Permits</t>
  </si>
  <si>
    <t>TRG0272 Waterway Ops -Review&amp;Inspect</t>
  </si>
  <si>
    <t>TRG0273 Waterway Ops -Rvw&amp;Inspct Reimb</t>
  </si>
  <si>
    <t>TRG0275 Road Safety Initiative</t>
  </si>
  <si>
    <t>TRG0279 Parking Prog - Special Projcts</t>
  </si>
  <si>
    <t>TRG0280 Trav Opts - CTR</t>
  </si>
  <si>
    <t>TRG0281 Trav Opts - Mobility Programs</t>
  </si>
  <si>
    <t>TRG0282 Trav Opts - Transp Mgmt Prgms</t>
  </si>
  <si>
    <t>TRG0283 CollisionEval - LitigationPrep</t>
  </si>
  <si>
    <t>TRG0286 STBD Youth ORCA</t>
  </si>
  <si>
    <t>TRG0287 STBD Transit Service -Regional</t>
  </si>
  <si>
    <t>TRG0288 Parking Prog - Policy Devlpmt</t>
  </si>
  <si>
    <t>TRG0289 PP Maint - Program Mgmt</t>
  </si>
  <si>
    <t>TRG0290 AS - Program Mangement</t>
  </si>
  <si>
    <t xml:space="preserve">TRG0291 AS - Tactical Urbanism </t>
  </si>
  <si>
    <t>TRG0292 AS - P2P - Ballard 17th Dock</t>
  </si>
  <si>
    <t>TRG0293 AS - P2P - Genesee &amp; Jill</t>
  </si>
  <si>
    <t>TRG0294 AS - P2P - Taylor &amp; Denny</t>
  </si>
  <si>
    <t>TRG0295 AS - P2P - Summit &amp; Denny</t>
  </si>
  <si>
    <t>TRG0296 Brdg/Struct Mtc -SpokaneStSilt</t>
  </si>
  <si>
    <t>TRG0297 Brdg/Strct Ops - Program Mgmt</t>
  </si>
  <si>
    <t>TRG0298 Transit Service &amp; Strategy Dev</t>
  </si>
  <si>
    <t>TRG0299 StVac-11th Ave SW - Port</t>
  </si>
  <si>
    <t>TRG0300 StVac-29th Av SW &amp; SW CityView</t>
  </si>
  <si>
    <t>TRG0301 StVac-31st Ave S - SHA</t>
  </si>
  <si>
    <t>TRG0302 StVac-9th Ave - KC Harborview</t>
  </si>
  <si>
    <t>TRG0303 StVac-Armory Way - PPMPDA</t>
  </si>
  <si>
    <t>TRG0304 StVac-Blk 1 - Lennar</t>
  </si>
  <si>
    <t>TRG0305 StVac-Blk 19 - Acorn Dev</t>
  </si>
  <si>
    <t>TRG0306 StVac-Blk 20 - Acorn Dev</t>
  </si>
  <si>
    <t>TRG0307 StVac-Blk 21 - Acorn Dev</t>
  </si>
  <si>
    <t>TRG0308 StVac-Blk 22 - UW</t>
  </si>
  <si>
    <t>TRG0309 StVac-Blk 23 - UW</t>
  </si>
  <si>
    <t>TRG0310 StVac-Blk 24 - GID/Parks</t>
  </si>
  <si>
    <t>TRG0311 StVac-Blk 3 - Lennar</t>
  </si>
  <si>
    <t>TRG0312 StVac-Blk 52 Alley</t>
  </si>
  <si>
    <t>TRG0313 StVac-Blk 54 - Westbank</t>
  </si>
  <si>
    <t>TRG0314 StVac-Blk 6 - Skanska</t>
  </si>
  <si>
    <t>TRG0315 StVac-Blk 89 - Vulcan</t>
  </si>
  <si>
    <t>TRG0316 StVac-Blk 95 - Swedish</t>
  </si>
  <si>
    <t>TRG0317 StVac-E Howe St - Bender</t>
  </si>
  <si>
    <t>TRG0318 StVac-NE 46th &amp; 41st Av NE -CH</t>
  </si>
  <si>
    <t>TRG0319 StVac-Occidental Av S -ArenaCo</t>
  </si>
  <si>
    <t>TRG0320 StVac-Olive Way - WSCC</t>
  </si>
  <si>
    <t>TRG0321 StVac-West Marginal Way - Port</t>
  </si>
  <si>
    <t>TRG0322 Trfc D&amp;R - PerfMeas Analytics</t>
  </si>
  <si>
    <t>TRG0323 Encampments CleanUp-Parks</t>
  </si>
  <si>
    <t>TRR0001 Reimb Employee Loans</t>
  </si>
  <si>
    <t>TRR0002 1st Hill -Reimb-Streetcar Ops</t>
  </si>
  <si>
    <t>TRR0025 Reimb Commute Trip Reduction</t>
  </si>
  <si>
    <t>TRR0071 Reimb Only in Seattle</t>
  </si>
  <si>
    <t>TRR0073 PassThru CPRS-ElliottBySeawall</t>
  </si>
  <si>
    <t>TRR0074 PassThru CPRS- 1st Hill St Car</t>
  </si>
  <si>
    <t>TRR0075 PassThru CPRS- Mercer</t>
  </si>
  <si>
    <t>TRR0076 PassThru CPRS- 23rd Ave</t>
  </si>
  <si>
    <t>TRR0082 Reimb Paid Parking - Ops</t>
  </si>
  <si>
    <t>TRR0089 ReimbBrg/StrMtc- GraffitiAbate</t>
  </si>
  <si>
    <t>TRR0090 Reimb CWF - Pier 62/63 Park</t>
  </si>
  <si>
    <t>TRR0091 ReimbBrg/StrMtc-WSDOT GM Agmts</t>
  </si>
  <si>
    <t>TRR0092 ReimbBrg/StrMtc- Inspections</t>
  </si>
  <si>
    <t>TRR0093 ReimbBrg/StrMtc- Agreements</t>
  </si>
  <si>
    <t>TRR0094 ReimbBrg/StrMtc- UBIT Rental</t>
  </si>
  <si>
    <t>TRR0095 ReimbBrg/StrMtc- Accidents</t>
  </si>
  <si>
    <t>TRR0096 ReimbCleaning-LandslideCleanup</t>
  </si>
  <si>
    <t>TRR0097 ReimbCleaning- Spill Cleanup</t>
  </si>
  <si>
    <t>TRR0098 ReimbCleaning- Street Cleaning</t>
  </si>
  <si>
    <t>TRR0099 ReimbCleaning- Street Sweeping</t>
  </si>
  <si>
    <t>TRR0100 ReimbCleaning- Sweeping For Wq</t>
  </si>
  <si>
    <t>TRR0101 Reimb Comm Veh Services</t>
  </si>
  <si>
    <t>TRR0103 Reimb CWF - Waterfront Park</t>
  </si>
  <si>
    <t>TRR0104 Reimb Cap Des/Review - Other</t>
  </si>
  <si>
    <t>TRR0105 Reimb Tffc Ctrl - Film</t>
  </si>
  <si>
    <t>TRR0106 Reimb LSS- Landscape Estab</t>
  </si>
  <si>
    <t>TRR0107 Reimb LSS- Reimb Tree Care</t>
  </si>
  <si>
    <t>TRR0108 Reimb LSS- Tree Citations Rev</t>
  </si>
  <si>
    <t>TRR0109 Reimb Maintenance Ops</t>
  </si>
  <si>
    <t>TRR0110 Reimb Misc Spot Improvements</t>
  </si>
  <si>
    <t>TRR0111 Reimb Tffc Ctrl -ShawksStaduim</t>
  </si>
  <si>
    <t>TRR0112 Reimb Paid Parking - Other</t>
  </si>
  <si>
    <t>TRR0113 Reimb Paid Parking -PayStation</t>
  </si>
  <si>
    <t>TRR0114 Reimb Pavement Markings</t>
  </si>
  <si>
    <t>TRR0115 Reimb Cap Des/Review - SPU</t>
  </si>
  <si>
    <t>TRR0116 Reimb Signal Damage</t>
  </si>
  <si>
    <t>TRR0117 Reimb Signs</t>
  </si>
  <si>
    <t>TRR0118 Reimb Surface Mtce</t>
  </si>
  <si>
    <t>TRR0119 Reimb Traffic Signals</t>
  </si>
  <si>
    <t>TRR0120 Reimb Utility Cuts-Admin</t>
  </si>
  <si>
    <t>TRR0121 Reimb Utility Cuts-Private</t>
  </si>
  <si>
    <t>TRR0122 Reimb Utility Cuts-SCL</t>
  </si>
  <si>
    <t>TRR0123 Reimb Utility Cuts-SPUDrainage</t>
  </si>
  <si>
    <t>TRR0124 Reimb Utility Cuts-SPU Water</t>
  </si>
  <si>
    <t>TRR0125 Reimb Vending Enforcement</t>
  </si>
  <si>
    <t>TRR0127 SPB - Operations</t>
  </si>
  <si>
    <t>TRR0128 SPB - Maintenance</t>
  </si>
  <si>
    <t>TRR0129 Reimb Cap Des/Review - SCL</t>
  </si>
  <si>
    <t>TRR0130 Reimb LSS- Collison &amp; Accident</t>
  </si>
  <si>
    <t>TRR0164 Pass Through CWF - Utility</t>
  </si>
  <si>
    <t>TRR0166 ReimbCPRSMisc-ElliottBySeawall</t>
  </si>
  <si>
    <t>TRR0167 Reimb My Trips</t>
  </si>
  <si>
    <t>TRR0168 Reimb CWF - LID Administration</t>
  </si>
  <si>
    <t>TRR0169 Reimb CWF - Office of Arts</t>
  </si>
  <si>
    <t>TRR0170 Reimb CWF - Utility</t>
  </si>
  <si>
    <t>TRV0001 1st Hill - Streetcar Fares</t>
  </si>
  <si>
    <t>TRV0002 1st Hill - Streetcar Other Rev</t>
  </si>
  <si>
    <t>TRV0003 1st Hill - Streetcar Maint Rsv</t>
  </si>
  <si>
    <t>TRV0006 SLU - Streetcar Fares</t>
  </si>
  <si>
    <t>TRV0007 SLU - Streetcar Oth Rev</t>
  </si>
  <si>
    <t>TRV0008 SLU - St Car Property Leases</t>
  </si>
  <si>
    <t>TRV0009 General Transp Revenues</t>
  </si>
  <si>
    <t>TRV0010 GTR - Central Waterfront Rev</t>
  </si>
  <si>
    <t>Contract with Private Party</t>
  </si>
  <si>
    <r>
      <rPr>
        <sz val="11"/>
        <color rgb="FFFF0000"/>
        <rFont val="Calibri"/>
        <family val="2"/>
        <scheme val="minor"/>
      </rPr>
      <t>*</t>
    </r>
    <r>
      <rPr>
        <sz val="11"/>
        <color theme="1"/>
        <rFont val="Calibri"/>
        <family val="2"/>
        <scheme val="minor"/>
      </rPr>
      <t> Indicates required field</t>
    </r>
  </si>
  <si>
    <r>
      <t>Activity Type</t>
    </r>
    <r>
      <rPr>
        <sz val="11"/>
        <color rgb="FFFF0000"/>
        <rFont val="Calibri"/>
        <family val="2"/>
        <scheme val="minor"/>
      </rPr>
      <t>*</t>
    </r>
  </si>
  <si>
    <r>
      <t>Standard or Unique?</t>
    </r>
    <r>
      <rPr>
        <sz val="11"/>
        <color rgb="FFFF0000"/>
        <rFont val="Calibri"/>
        <family val="2"/>
        <scheme val="minor"/>
      </rPr>
      <t>*</t>
    </r>
  </si>
  <si>
    <t>If Standard, which?</t>
  </si>
  <si>
    <r>
      <t>Labor Charges OK?</t>
    </r>
    <r>
      <rPr>
        <sz val="11"/>
        <color rgb="FFFF0000"/>
        <rFont val="Calibri"/>
        <family val="2"/>
        <scheme val="minor"/>
      </rPr>
      <t>*</t>
    </r>
  </si>
  <si>
    <t>10398 MOVE SEATTLE PROPERTY TAX LEVY</t>
  </si>
  <si>
    <t>Sequence 1</t>
  </si>
  <si>
    <t>Line Threshold</t>
  </si>
  <si>
    <t>Sequence 2</t>
  </si>
  <si>
    <t>00100 GENERAL FUND</t>
  </si>
  <si>
    <t>Sequence 3</t>
  </si>
  <si>
    <t>No Overhead - detail project will only collect indirect costs</t>
  </si>
  <si>
    <t>Other - documentation and Finance Manager approval required</t>
  </si>
  <si>
    <t>00164 CUM RES CAP PROJ UNRESTR FUND</t>
  </si>
  <si>
    <t>10102 EMERGENCY FUND</t>
  </si>
  <si>
    <t>10394 LEVY LID LIFT</t>
  </si>
  <si>
    <t>10800 SEATTLE STREETCAR OPERATING FUND</t>
  </si>
  <si>
    <t>13000 TRANSPORTATION FUND</t>
  </si>
  <si>
    <t>18500 SCHOOL SAFETY TRAFFIC AND PEDESTRIAN IMPROVEMENT FUND</t>
  </si>
  <si>
    <t>19900 TRANSPORTATION BENEFIT DIST FD</t>
  </si>
  <si>
    <t>30010 REET I CAPITAL PROJECTS</t>
  </si>
  <si>
    <t>30020 REET II CAPITAL PROJECTS</t>
  </si>
  <si>
    <t>33850 2000 PARKS LEVY FUND</t>
  </si>
  <si>
    <t>33860 2008 PARKS LEVY FUND</t>
  </si>
  <si>
    <t>35200 2008 MULTIPURPOSE LTGO BOND FD</t>
  </si>
  <si>
    <t>35300 2009 MULTIPURPOSE LTGO BOND</t>
  </si>
  <si>
    <t>35400 2010 MULTIPURPOSE LTGO BOND FD</t>
  </si>
  <si>
    <t>35500 2011 MULTIPURPOSE LTGO BOND FD</t>
  </si>
  <si>
    <t>35600 2012 LTGO BOND FUND</t>
  </si>
  <si>
    <t>35700 2013 LTGO SERIES A NON-TAXABLE</t>
  </si>
  <si>
    <t>35800 ALASKAN WAY SEAWALL CONST FUND</t>
  </si>
  <si>
    <t>35820 2014 UTGO- ALASKAWAY SEAWALL</t>
  </si>
  <si>
    <t>35830 2015 UTGO AWVS</t>
  </si>
  <si>
    <t>35840 2016 UTGO AWVS</t>
  </si>
  <si>
    <t>35900 CENTRAL WATERFRONT IMP FUND</t>
  </si>
  <si>
    <t>36100 2014 LTGO BOND FUND</t>
  </si>
  <si>
    <t>36200 2015 MULTIPURPOSE LTGO BOND FD</t>
  </si>
  <si>
    <t>36300 2016 MULTIPURPOSE LTGO BOND FD</t>
  </si>
  <si>
    <t xml:space="preserve">36400 2017 LTGO Bond Fund </t>
  </si>
  <si>
    <t>36500 2018 LTGO Bond Fund</t>
  </si>
  <si>
    <t>Prime Fund</t>
  </si>
  <si>
    <r>
      <t>Will this activity create or improve an SDOT asset?</t>
    </r>
    <r>
      <rPr>
        <sz val="11"/>
        <color rgb="FFFF0000"/>
        <rFont val="Calibri"/>
        <family val="2"/>
        <scheme val="minor"/>
      </rPr>
      <t>*</t>
    </r>
  </si>
  <si>
    <r>
      <t>Detail Project Name</t>
    </r>
    <r>
      <rPr>
        <sz val="11"/>
        <color rgb="FFFF0000"/>
        <rFont val="Calibri"/>
        <family val="2"/>
        <scheme val="minor"/>
      </rPr>
      <t>*</t>
    </r>
  </si>
  <si>
    <r>
      <t>Will Funds distribution be setup at the Activity Level?</t>
    </r>
    <r>
      <rPr>
        <sz val="11"/>
        <color rgb="FFFF0000"/>
        <rFont val="Calibri"/>
        <family val="2"/>
        <scheme val="minor"/>
      </rPr>
      <t>*</t>
    </r>
  </si>
  <si>
    <t>Current Year Estimated Spend</t>
  </si>
  <si>
    <r>
      <t>Suggested Activity Description</t>
    </r>
    <r>
      <rPr>
        <sz val="11"/>
        <color rgb="FFFF0000"/>
        <rFont val="Calibri"/>
        <family val="2"/>
        <scheme val="minor"/>
      </rPr>
      <t>*</t>
    </r>
  </si>
  <si>
    <t>Asset?</t>
  </si>
  <si>
    <r>
      <t>Detail Project Number</t>
    </r>
    <r>
      <rPr>
        <sz val="11"/>
        <color rgb="FFFF0000"/>
        <rFont val="Calibri"/>
        <family val="2"/>
        <scheme val="minor"/>
      </rPr>
      <t>*</t>
    </r>
  </si>
  <si>
    <t>Suggested Prefix</t>
  </si>
  <si>
    <t>S0001 Planning</t>
  </si>
  <si>
    <t>S0106 Plan Dev/Review</t>
  </si>
  <si>
    <t>S0107 Master Plan / Imp Plan</t>
  </si>
  <si>
    <t>S0100 Design &amp; Environmental</t>
  </si>
  <si>
    <t>S0101 Design - Curb Ramp</t>
  </si>
  <si>
    <t>S0102 Design - Drafting</t>
  </si>
  <si>
    <t>S0103 Design - Landscape</t>
  </si>
  <si>
    <t>S0104 Design - Review/Guidance</t>
  </si>
  <si>
    <t>S0105 Design - Traffic Control</t>
  </si>
  <si>
    <t>S0108 Design Guidelines</t>
  </si>
  <si>
    <t>S0200 Acquisition</t>
  </si>
  <si>
    <t>SG100 Design &amp; Environmental</t>
  </si>
  <si>
    <t>SG101 Design - SDOT Labor</t>
  </si>
  <si>
    <t>SG102 Design - Consultant</t>
  </si>
  <si>
    <t>SG103 Design - Ineligible</t>
  </si>
  <si>
    <t>S0300 Construction</t>
  </si>
  <si>
    <t>S0301 Construct - Stairway</t>
  </si>
  <si>
    <t>S0302 Construct - Stw Landscaping</t>
  </si>
  <si>
    <t>S0303 Construct - Stw Pathway</t>
  </si>
  <si>
    <t>S0304 Construct - Stw Rail</t>
  </si>
  <si>
    <t>S0305 Construct - Stw Site Prep</t>
  </si>
  <si>
    <t>SG300 Construction</t>
  </si>
  <si>
    <t>SG301 Construction - SDOT Labor</t>
  </si>
  <si>
    <t>SG302 Construction - Consultant</t>
  </si>
  <si>
    <t>SG303 Construction - Contractor</t>
  </si>
  <si>
    <t>SG304 Construction - Ineligible</t>
  </si>
  <si>
    <t>SG305 Construction - Const Mgmt</t>
  </si>
  <si>
    <t>S0400 Closeout</t>
  </si>
  <si>
    <t>S0401 Landscape Establishment</t>
  </si>
  <si>
    <t>SG400 Closeout</t>
  </si>
  <si>
    <t>S0607 Operate Movable Brg - Swing</t>
  </si>
  <si>
    <t>S0606 Operate Movable Brg - Grave</t>
  </si>
  <si>
    <t>S0605 Operate Movable Brg - Day</t>
  </si>
  <si>
    <t>S0604 Maint - Struct, Other</t>
  </si>
  <si>
    <t>S0603 Maint - Struct, Mechanical</t>
  </si>
  <si>
    <t>S0602 Maint - Struct, Electric</t>
  </si>
  <si>
    <t>S0601 Maint - Struct, Concrete</t>
  </si>
  <si>
    <t>S0600 Maint - Bridge, by Operator</t>
  </si>
  <si>
    <t>S0700 Signal - Active Mgmt</t>
  </si>
  <si>
    <t>S0701 Signal - Ops</t>
  </si>
  <si>
    <t>S0702 Traffic Calming</t>
  </si>
  <si>
    <t>S0703 Traffic Control</t>
  </si>
  <si>
    <t>S0704 Trafic Event Management</t>
  </si>
  <si>
    <t>S0705 Traffic Incident Management</t>
  </si>
  <si>
    <t>S0800 Inventory - Tree</t>
  </si>
  <si>
    <t>S0801 Landscape Installation</t>
  </si>
  <si>
    <t>S0802 Landscape Management</t>
  </si>
  <si>
    <t>S0803 Maint -  Landscape</t>
  </si>
  <si>
    <t>S0804 Maint - Tree</t>
  </si>
  <si>
    <t>S0805 Maint - Tree, Planting</t>
  </si>
  <si>
    <t>S0806 Maint - Tree, Watering</t>
  </si>
  <si>
    <t>S0500 Emergency Response</t>
  </si>
  <si>
    <t>S0501 Emergency Response Standby</t>
  </si>
  <si>
    <t>S0502 Cleaning - Path &amp; Trail</t>
  </si>
  <si>
    <t>S0503 Cleaning - Street</t>
  </si>
  <si>
    <t>S0504 Cleanup - Encampment</t>
  </si>
  <si>
    <t>S0505 Cleaning  Graffiti</t>
  </si>
  <si>
    <t>S0506 Install/Maint - Guardrail</t>
  </si>
  <si>
    <t>S0507 Install/Maint - Irrigation</t>
  </si>
  <si>
    <t>S0508 Install/Maint - Signs</t>
  </si>
  <si>
    <t>S0509 Install/Maint - Xwalk</t>
  </si>
  <si>
    <t>S0510 Maint - Bldg &amp; Grounds</t>
  </si>
  <si>
    <t>S0511 Maint - Carpentry/Heavy</t>
  </si>
  <si>
    <t>S0512 Maint - Elevator</t>
  </si>
  <si>
    <t>S0513 Maint - General</t>
  </si>
  <si>
    <t>S0514 Maint - Sign</t>
  </si>
  <si>
    <t>S0515 Maint - Street Surface</t>
  </si>
  <si>
    <t>S0516 Maint - Street, Preventative</t>
  </si>
  <si>
    <t>S0517 Maint - Vehicle Special</t>
  </si>
  <si>
    <t>S0518 Pavement Marking</t>
  </si>
  <si>
    <t>S0519 Remove - Debris</t>
  </si>
  <si>
    <t>S0520 Remove/Replace - Guardrail</t>
  </si>
  <si>
    <t>S0521 Remove/Replace - Signs</t>
  </si>
  <si>
    <t>S0522 Repair - Guardrail</t>
  </si>
  <si>
    <t>S0523 Repair - Pothole</t>
  </si>
  <si>
    <t>S1200 Design Guidance Billable</t>
  </si>
  <si>
    <t>S1201 Inspection &amp; Assessment</t>
  </si>
  <si>
    <t>S1202 Issue Permits</t>
  </si>
  <si>
    <t>S1203 Legislative Actions</t>
  </si>
  <si>
    <t>S1205 Review Billable - Street Use</t>
  </si>
  <si>
    <t>S0900 Downtown Circulator Purchase</t>
  </si>
  <si>
    <t>S0901 Event Costs</t>
  </si>
  <si>
    <t>S0902 External Agency Engagement</t>
  </si>
  <si>
    <t>S0903 Govt/Regional Engagement</t>
  </si>
  <si>
    <t>S0904 Mobility Development</t>
  </si>
  <si>
    <t>S0905 ORCA</t>
  </si>
  <si>
    <t>S0906 ORCA Cards</t>
  </si>
  <si>
    <t>S0911 Streetcar Incident Reponse</t>
  </si>
  <si>
    <t>S0912 Streetcar Operations</t>
  </si>
  <si>
    <t>S1100 Claims Processing</t>
  </si>
  <si>
    <t>S1101 Code Enforcement</t>
  </si>
  <si>
    <t>S1102 Communications and Marketing</t>
  </si>
  <si>
    <t>S1103 Community Engagement</t>
  </si>
  <si>
    <t>S1104 Complaint Invest/Resp</t>
  </si>
  <si>
    <t>S1105 Correspondence</t>
  </si>
  <si>
    <t>S1106 Customer Relations</t>
  </si>
  <si>
    <t>S1300 Admin &amp; Supervision</t>
  </si>
  <si>
    <t>S1303 Doc Prep/Review/Update</t>
  </si>
  <si>
    <t>S1301 Administration</t>
  </si>
  <si>
    <t>S1304 Mgmt &amp; Admin</t>
  </si>
  <si>
    <t xml:space="preserve">S1305 Office Reconfiguration
</t>
  </si>
  <si>
    <t>S1306 Policy / Proc / Improvement</t>
  </si>
  <si>
    <t>S1308 Training &amp; Prof Dev</t>
  </si>
  <si>
    <t>S0404 Performance Measurement</t>
  </si>
  <si>
    <t>S1204 Penalties</t>
  </si>
  <si>
    <t>S0907 Pay Station and Passes</t>
  </si>
  <si>
    <t>S0908 Pay-by-Phone</t>
  </si>
  <si>
    <t>S0909 Sound Transit Partnership</t>
  </si>
  <si>
    <t>S0910 Streetcar Amazon Contract</t>
  </si>
  <si>
    <t>S0913 Streetcar Sponsorship</t>
  </si>
  <si>
    <t>S1000 Credit Card Fees Paid</t>
  </si>
  <si>
    <t>S1001 Debt Service</t>
  </si>
  <si>
    <t>S1002 Collect Recovery</t>
  </si>
  <si>
    <t>S1003 Engineering Reserve</t>
  </si>
  <si>
    <t>S1004 Reimbursable Write-off</t>
  </si>
  <si>
    <t>S0402 Education</t>
  </si>
  <si>
    <t>SG402 Education</t>
  </si>
  <si>
    <t>SG403 Enforcement</t>
  </si>
  <si>
    <t>S0403 Enforcement</t>
  </si>
  <si>
    <t>S0405 1% For Art</t>
  </si>
  <si>
    <t>S1302 Data Collection/Analysis</t>
  </si>
  <si>
    <t>S1307 Program Dev/Mgmt</t>
  </si>
  <si>
    <t>Standard or Unique - Reimb</t>
  </si>
  <si>
    <t>Standard or Unique-N/A</t>
  </si>
  <si>
    <t>Standard or Unique-Grant</t>
  </si>
  <si>
    <t>NA</t>
  </si>
  <si>
    <t>NAInitiation</t>
  </si>
  <si>
    <t>NAAcquisition</t>
  </si>
  <si>
    <t>NAPlanning</t>
  </si>
  <si>
    <t>NADesign</t>
  </si>
  <si>
    <t>NAConstruction</t>
  </si>
  <si>
    <t>NAClose</t>
  </si>
  <si>
    <t>Ops and Maint</t>
  </si>
  <si>
    <t>Gen and Admin</t>
  </si>
  <si>
    <t>NAPrePlanning</t>
  </si>
  <si>
    <t>PrePlanning</t>
  </si>
  <si>
    <t xml:space="preserve"> Gen and Admin</t>
  </si>
  <si>
    <t>NAOpsandMaint</t>
  </si>
  <si>
    <t>NAGenandAdmin</t>
  </si>
  <si>
    <t>NARevenueOnly</t>
  </si>
  <si>
    <t>S</t>
  </si>
  <si>
    <t>U</t>
  </si>
  <si>
    <t>R</t>
  </si>
  <si>
    <t>SG</t>
  </si>
  <si>
    <t>UG</t>
  </si>
  <si>
    <t>NAStandard</t>
  </si>
  <si>
    <t>ReimbursableUnique</t>
  </si>
  <si>
    <t>GrantStandard</t>
  </si>
  <si>
    <t>NAUnique</t>
  </si>
  <si>
    <t>GrantUnique</t>
  </si>
  <si>
    <t>Total Estimated Spend</t>
  </si>
  <si>
    <t>Project Owner &amp; Manager Section</t>
  </si>
  <si>
    <t>Optional Start Date</t>
  </si>
  <si>
    <t>Threshold</t>
  </si>
  <si>
    <t>Collection Activity Details</t>
  </si>
  <si>
    <t>Ineligible Activity Details</t>
  </si>
  <si>
    <t xml:space="preserve">Has an ineligible activity been set up for this phase? </t>
  </si>
  <si>
    <t>If yes, enter # here.</t>
  </si>
  <si>
    <t>Collection Activity Funding Details</t>
  </si>
  <si>
    <t>Billing Activity Details</t>
  </si>
  <si>
    <t>Activity Type</t>
  </si>
  <si>
    <t>Ineligible</t>
  </si>
  <si>
    <t>Column2</t>
  </si>
  <si>
    <t>StandardOpsandMaint</t>
  </si>
  <si>
    <t>StandardClose</t>
  </si>
  <si>
    <t>Grant Collection</t>
  </si>
  <si>
    <t>StandardDesign</t>
  </si>
  <si>
    <t>StandardConstruction</t>
  </si>
  <si>
    <t>Grant Billing</t>
  </si>
  <si>
    <t>GS402 Education</t>
  </si>
  <si>
    <t>GS403 Enforcement</t>
  </si>
  <si>
    <t>GS400 Closeout</t>
  </si>
  <si>
    <t>GS100 Design &amp; Environmental</t>
  </si>
  <si>
    <t>GS101 Design - SDOT Labor</t>
  </si>
  <si>
    <t>GS102 Design - Consultant</t>
  </si>
  <si>
    <t>GS300 Construction</t>
  </si>
  <si>
    <t>GS301 Construction - SDOT Labor</t>
  </si>
  <si>
    <t>GS302 Construction - Consultant</t>
  </si>
  <si>
    <t>GS303 Construction - Contractor</t>
  </si>
  <si>
    <t>GS305 Construction - Const Mgmt</t>
  </si>
  <si>
    <t>GS</t>
  </si>
  <si>
    <t>GU</t>
  </si>
  <si>
    <t>Source</t>
  </si>
  <si>
    <t>Target Activity</t>
  </si>
  <si>
    <t>inelig</t>
  </si>
  <si>
    <t>billing</t>
  </si>
  <si>
    <t>If Yes, overhead rate plan will be applied at the activity level. For exceptions, select:</t>
  </si>
  <si>
    <t>Overhead rate plan will be applied at the activity level. For exceptions, select:</t>
  </si>
  <si>
    <t>Equipment &amp; 1% for Art</t>
  </si>
  <si>
    <t>Sequence 4</t>
  </si>
  <si>
    <t>Suggested Description</t>
  </si>
  <si>
    <t>NO</t>
  </si>
  <si>
    <t>Ineligible by Type</t>
  </si>
  <si>
    <t>collection</t>
  </si>
  <si>
    <t>Standard or Unique?</t>
  </si>
  <si>
    <t>If blank, Accounting will set up the activity based on the fields below with a status of N - No labor and no funds distribution.</t>
  </si>
  <si>
    <t>Sequence 5</t>
  </si>
  <si>
    <t>Sequence 6</t>
  </si>
  <si>
    <t>Sequence 7</t>
  </si>
  <si>
    <t>OTR000FS Fees - Street Vacations</t>
  </si>
  <si>
    <t>OTR000FW Fees - Waterway Improvement</t>
  </si>
  <si>
    <t>OTR0004C Interfund Loan - Central Waterfront</t>
  </si>
  <si>
    <t>OTR0004M Interfund Loan - Mercer</t>
  </si>
  <si>
    <t>OTR00041 Interfund Loan - South Lake Union Streetcar Operating</t>
  </si>
  <si>
    <t>OTR00042 Interfund Loan - Streetcar Capital</t>
  </si>
  <si>
    <t>OTR00050 LID - Central Waterfront</t>
  </si>
  <si>
    <t>OTR00060 Loan - Public Works Trust Fund</t>
  </si>
  <si>
    <t>OTR00070 Philanthropy - Central Waterfront</t>
  </si>
  <si>
    <t>OTR00080 Property Proceeds</t>
  </si>
  <si>
    <t>OTR0011S SU Fees - Service</t>
  </si>
  <si>
    <t>OTR0011U SU Fees - Use, Occupation, Penalty</t>
  </si>
  <si>
    <t>OTRTAXC1 Tax - Commercial Parking</t>
  </si>
  <si>
    <t>OTRTAXC2 Tax - Commercial Parking 2.5% Increase</t>
  </si>
  <si>
    <t xml:space="preserve">OTRTAXEH Tax – Employee Hours </t>
  </si>
  <si>
    <t>OTRTAXGS Tax - Gas, Motor Vehicle</t>
  </si>
  <si>
    <t>OTRTAXRS Tax Credit - Rideshare</t>
  </si>
  <si>
    <t>OTRTAXMM Taxes &amp; Fees - Multimodal</t>
  </si>
  <si>
    <t>OTRVLF20 Vehicle License Fee - $20</t>
  </si>
  <si>
    <t>OTRVLF60 Vehicle License Fee - $60</t>
  </si>
  <si>
    <t>Source Definitions Cheat Sheet</t>
  </si>
  <si>
    <t>From PCA 0401 Setup Fund Distribution Rules 12/13/17</t>
  </si>
  <si>
    <t>For Finance Analysts</t>
  </si>
  <si>
    <t>Type of Grant Restrictions</t>
  </si>
  <si>
    <r>
      <rPr>
        <b/>
        <sz val="12"/>
        <color theme="0"/>
        <rFont val="Calibri"/>
        <family val="2"/>
        <scheme val="minor"/>
      </rPr>
      <t>Sources to Include as Eligible Costs</t>
    </r>
    <r>
      <rPr>
        <b/>
        <sz val="11"/>
        <color theme="0"/>
        <rFont val="Calibri"/>
        <family val="2"/>
        <scheme val="minor"/>
      </rPr>
      <t xml:space="preserve"> (target = collection &amp; billing activities)</t>
    </r>
  </si>
  <si>
    <r>
      <rPr>
        <b/>
        <sz val="12"/>
        <color theme="0"/>
        <rFont val="Calibri"/>
        <family val="2"/>
        <scheme val="minor"/>
      </rPr>
      <t>Sources to Exclude As Inelgibile Costs</t>
    </r>
    <r>
      <rPr>
        <b/>
        <sz val="11"/>
        <color theme="0"/>
        <rFont val="Calibri"/>
        <family val="2"/>
        <scheme val="minor"/>
      </rPr>
      <t xml:space="preserve"> (target = ineligible activity)</t>
    </r>
  </si>
  <si>
    <t>Not a grant, or grant has no eligibility restrictions.</t>
  </si>
  <si>
    <r>
      <rPr>
        <b/>
        <sz val="11"/>
        <color rgb="FFFF0000"/>
        <rFont val="Calibri"/>
        <family val="2"/>
        <scheme val="minor"/>
      </rPr>
      <t>All Transactions</t>
    </r>
    <r>
      <rPr>
        <sz val="11"/>
        <color rgb="FFFF0000"/>
        <rFont val="Calibri"/>
        <family val="2"/>
        <scheme val="minor"/>
      </rPr>
      <t xml:space="preserve"> </t>
    </r>
    <r>
      <rPr>
        <sz val="11"/>
        <color theme="1"/>
        <rFont val="Calibri"/>
        <family val="2"/>
        <scheme val="minor"/>
      </rPr>
      <t xml:space="preserve">
Includes analys types PAY, IPB, ITO, ICT, IDV, IDP, ACT, GLE, ALE with no restrictions by account, Resource Type, or SCAT.</t>
    </r>
  </si>
  <si>
    <t>All Grants</t>
  </si>
  <si>
    <r>
      <rPr>
        <b/>
        <sz val="11"/>
        <color rgb="FFFF0000"/>
        <rFont val="Calibri"/>
        <family val="2"/>
        <scheme val="minor"/>
      </rPr>
      <t>Equipment &amp; 1% for Art</t>
    </r>
    <r>
      <rPr>
        <b/>
        <sz val="11"/>
        <color theme="1"/>
        <rFont val="Calibri"/>
        <family val="2"/>
        <scheme val="minor"/>
      </rPr>
      <t xml:space="preserve">
</t>
    </r>
    <r>
      <rPr>
        <sz val="11"/>
        <color theme="1"/>
        <rFont val="Calibri"/>
        <family val="2"/>
        <scheme val="minor"/>
      </rPr>
      <t xml:space="preserve">Includes any transaction with an equipment or 1% for art account number.
</t>
    </r>
    <r>
      <rPr>
        <b/>
        <i/>
        <sz val="11"/>
        <color theme="1"/>
        <rFont val="Calibri"/>
        <family val="2"/>
        <scheme val="minor"/>
      </rPr>
      <t>This source must always be handled FIRST in funds distribution, and if threshold must be kept above total costs at all times to avoid billing equipment or art costs to a grant.</t>
    </r>
  </si>
  <si>
    <t>Most Grants</t>
  </si>
  <si>
    <r>
      <rPr>
        <b/>
        <sz val="11"/>
        <color rgb="FFFF0000"/>
        <rFont val="Calibri"/>
        <family val="2"/>
        <scheme val="minor"/>
      </rPr>
      <t>Grant Eligible (Most Grants)</t>
    </r>
    <r>
      <rPr>
        <sz val="11"/>
        <color theme="1"/>
        <rFont val="Calibri"/>
        <family val="2"/>
        <scheme val="minor"/>
      </rPr>
      <t xml:space="preserve">
Includes all expenditure transactions except Citywide, Departmental and Divisional Overhead.  Also includes part of the Time Off and Pooled Benefit rate (anything up to the max allowable amount calculated yearly by accounting). </t>
    </r>
  </si>
  <si>
    <r>
      <rPr>
        <b/>
        <sz val="11"/>
        <color rgb="FFFF0000"/>
        <rFont val="Calibri"/>
        <family val="2"/>
        <scheme val="minor"/>
      </rPr>
      <t>Grant Ineligible (Most Grants)</t>
    </r>
    <r>
      <rPr>
        <b/>
        <sz val="11"/>
        <color theme="1"/>
        <rFont val="Calibri"/>
        <family val="2"/>
        <scheme val="minor"/>
      </rPr>
      <t xml:space="preserve">
</t>
    </r>
    <r>
      <rPr>
        <sz val="11"/>
        <color theme="1"/>
        <rFont val="Calibri"/>
        <family val="2"/>
        <scheme val="minor"/>
      </rPr>
      <t>Includes Citwide, Departmental and Divisional Overhead.  Includes ineligible part of the Time Off and Pooled Benefit rate (anything in excess of the accounting calculated rate).</t>
    </r>
  </si>
  <si>
    <t>TIB Grants</t>
  </si>
  <si>
    <r>
      <rPr>
        <b/>
        <sz val="11"/>
        <color rgb="FFFF0000"/>
        <rFont val="Calibri"/>
        <family val="2"/>
        <scheme val="minor"/>
      </rPr>
      <t>Grant Eligible (TIB)</t>
    </r>
    <r>
      <rPr>
        <sz val="11"/>
        <color theme="1"/>
        <rFont val="Calibri"/>
        <family val="2"/>
        <scheme val="minor"/>
      </rPr>
      <t xml:space="preserve">
Includes all expenditure transactions except Citwide, Departmental and Divisional Overhead.  Also includes part the Time Off and Pooled Benefit rate (up to the max of 50% allowed).</t>
    </r>
  </si>
  <si>
    <r>
      <rPr>
        <b/>
        <sz val="11"/>
        <color rgb="FFFF0000"/>
        <rFont val="Calibri"/>
        <family val="2"/>
        <scheme val="minor"/>
      </rPr>
      <t>Grant Ineligible (TIB)</t>
    </r>
    <r>
      <rPr>
        <b/>
        <sz val="11"/>
        <color theme="1"/>
        <rFont val="Calibri"/>
        <family val="2"/>
        <scheme val="minor"/>
      </rPr>
      <t xml:space="preserve">
</t>
    </r>
    <r>
      <rPr>
        <sz val="11"/>
        <color theme="1"/>
        <rFont val="Calibri"/>
        <family val="2"/>
        <scheme val="minor"/>
      </rPr>
      <t>Includes Citwide, Departmental and Divisional Overhead.  Includes ineligible part of the Time Off and Pooled Benefit rate (anything in excess of 50% max allowed).</t>
    </r>
  </si>
  <si>
    <t>For Project Cost</t>
  </si>
  <si>
    <t>Source on Activity Form</t>
  </si>
  <si>
    <t>Analysis Type</t>
  </si>
  <si>
    <t>Source Type</t>
  </si>
  <si>
    <t>Account</t>
  </si>
  <si>
    <t>SCAT</t>
  </si>
  <si>
    <t>PAY</t>
  </si>
  <si>
    <t>%</t>
  </si>
  <si>
    <t>ITO</t>
  </si>
  <si>
    <t>IPB</t>
  </si>
  <si>
    <t>ICT</t>
  </si>
  <si>
    <t>IDV</t>
  </si>
  <si>
    <t>IDP</t>
  </si>
  <si>
    <t>ACT</t>
  </si>
  <si>
    <t>GLE</t>
  </si>
  <si>
    <t>ALE</t>
  </si>
  <si>
    <t>Grant Eligible (Most)</t>
  </si>
  <si>
    <t>LABOR</t>
  </si>
  <si>
    <t>FRNG</t>
  </si>
  <si>
    <t>ELT</t>
  </si>
  <si>
    <t>ELI</t>
  </si>
  <si>
    <t>Grant Ineligible (Most)</t>
  </si>
  <si>
    <t>INE</t>
  </si>
  <si>
    <t>Grant Eligible (TIB)</t>
  </si>
  <si>
    <t>Grant Ineligible (TIB)</t>
  </si>
  <si>
    <t>Labor</t>
  </si>
  <si>
    <t>Description</t>
  </si>
  <si>
    <t>Related to Staff Labor</t>
  </si>
  <si>
    <t>Salaries</t>
  </si>
  <si>
    <t>Fringe Benefits that are charged with Labor</t>
  </si>
  <si>
    <t>(blank)</t>
  </si>
  <si>
    <t>Pooled Benefits (charged as a rate)</t>
  </si>
  <si>
    <t>Paid Time Off (charged as a rate)</t>
  </si>
  <si>
    <t>Citywide Overhead</t>
  </si>
  <si>
    <t>Divisional Overhead</t>
  </si>
  <si>
    <t>Departmental Overhead</t>
  </si>
  <si>
    <t>Non-Staff</t>
  </si>
  <si>
    <t>Accounts payable vouchers</t>
  </si>
  <si>
    <t>Expenditure journal entry (can be system generated)</t>
  </si>
  <si>
    <t>System Generated Allocations</t>
  </si>
  <si>
    <t>Eligible - Most Grants</t>
  </si>
  <si>
    <t>Ineligible - Most Grants</t>
  </si>
  <si>
    <t>Eligible - TIB Grants</t>
  </si>
  <si>
    <t>Ineligible - TIB Grants</t>
  </si>
  <si>
    <t>All Transactions</t>
  </si>
  <si>
    <t>Will activity require a SpeedType/SpeedChart?</t>
  </si>
  <si>
    <t>If Yes, select prime fund:</t>
  </si>
  <si>
    <t>Please select the prime fund for the SpeedType/SpeedChart:</t>
  </si>
  <si>
    <t>Requested By:</t>
  </si>
  <si>
    <t>Requesting Finance Analyst:</t>
  </si>
  <si>
    <t>SDOT Activity Set-Up Form for Grants</t>
  </si>
  <si>
    <t>CTR00010 Deposits - Private/Other</t>
  </si>
  <si>
    <t>CTR000M2 Mitigation - Pro-rata Share</t>
  </si>
  <si>
    <t>CTR000M3 Mitigation - Voluntary, Northgate</t>
  </si>
  <si>
    <t>CTR000M4 Mitigation - Voluntary, South Lake Union</t>
  </si>
  <si>
    <t>CTR000PB Partnership - BNSF</t>
  </si>
  <si>
    <t>CTR000PK Partnership - King County</t>
  </si>
  <si>
    <t>CTR000PP Partnership - Port of Seattle</t>
  </si>
  <si>
    <t>CTR000PS Partnership - Sound Transit</t>
  </si>
  <si>
    <t>CTR000PW Partnership - WSDOT</t>
  </si>
  <si>
    <t>36600 2019 LTGO Bond Fund</t>
  </si>
  <si>
    <t xml:space="preserve">36410 2017 Taxable LTGO Bond Fund </t>
  </si>
  <si>
    <t>36610 2019 Taxable LTGO Bond Fund</t>
  </si>
  <si>
    <t>36510 2018 Taxable LTGO Bond Fund</t>
  </si>
  <si>
    <t>35040 WATERFRONT LID FUND</t>
  </si>
  <si>
    <t>36700 2020 LTGO Bond Fund</t>
  </si>
  <si>
    <t>36710 2020 Taxable LTGO Bond Fund</t>
  </si>
  <si>
    <t>Grant Ineligible Calculator</t>
  </si>
  <si>
    <t>Finance Section</t>
  </si>
  <si>
    <t>36810 2021 LTGO Taxable Bond Fund</t>
  </si>
  <si>
    <t>Move Seattle Levy Deliverable</t>
  </si>
  <si>
    <t>Council Budget Amendment</t>
  </si>
  <si>
    <t>PPM Detail Project ID</t>
  </si>
  <si>
    <t>PPM Detail Proj Setup?</t>
  </si>
  <si>
    <t>Reimbursable?</t>
  </si>
  <si>
    <t>Activity Type/Phase</t>
  </si>
  <si>
    <t>Detail Project Number</t>
  </si>
  <si>
    <t>Will this work create or improve an SDOT asset?</t>
  </si>
  <si>
    <t xml:space="preserve">Interlocal Agency Agreement </t>
  </si>
  <si>
    <t>Other Restricted Funds</t>
  </si>
  <si>
    <t>Work within School Zones</t>
  </si>
  <si>
    <t>General Information</t>
  </si>
  <si>
    <t>Proposed Activity Description</t>
  </si>
  <si>
    <t>Scope of Work (please include phase, location, and extents if relevant)</t>
  </si>
  <si>
    <t>If yes to any items in this section, please attach a copy of the agreement or other relevant documentation.</t>
  </si>
  <si>
    <t>Is the PPM Detail Project Setup?</t>
  </si>
  <si>
    <t>When complete, please email this form to the appropriate Finance Analyst, and copy the Project Owner (if applicable), Project Controls at DOT_Project_Controls@seattle.gov, and the Project Manager (if applicable). Finance will assume that all copied parties agree to this setup. Project Owners and Project Managers should ensure this work is reflected in the current spend plan for the project and/or program.</t>
  </si>
  <si>
    <t>Will expenditures in this activity relate to any of the following? Select all that apply.</t>
  </si>
  <si>
    <t>CTR000M1 Mitigation</t>
  </si>
  <si>
    <t>OTRTAXC3 Commercial Parking Tax 2% Incr</t>
  </si>
  <si>
    <t>OTRVLF20B 2021 $20 Vehicle License Fee</t>
  </si>
  <si>
    <t>OTRVLF10 2023 $10 Vehicle License Fee</t>
  </si>
  <si>
    <t>RTRSPUDWW SPU Drainage&amp;Wastewater Reimb</t>
  </si>
  <si>
    <t>RTRSPUWF SPU Water Fund Reimbursable</t>
  </si>
  <si>
    <t>RTRSCL SCL Reimbursable</t>
  </si>
  <si>
    <t>36820 2021 Taxable LTGO Bond Fund</t>
  </si>
  <si>
    <t>36900 2022 Multipurpose LTGO Bond Fu</t>
  </si>
  <si>
    <t>36910 2022 LTGO Taxable Bond Fund</t>
  </si>
  <si>
    <t>&lt;No Funding Source&gt;</t>
  </si>
  <si>
    <t>Work in Disadvantaged Areas</t>
  </si>
  <si>
    <t>OTRTAXP2 Tax-0.15% STBD</t>
  </si>
  <si>
    <r>
      <t xml:space="preserve">Sequence 2: </t>
    </r>
    <r>
      <rPr>
        <sz val="11"/>
        <color rgb="FF000000"/>
        <rFont val="Calibri"/>
        <family val="2"/>
        <scheme val="minor"/>
      </rPr>
      <t xml:space="preserve">If labor will be charged to the grant activity the purpose of this sequence is to divert ineligible indirect/overhead labor costs from being funds distributed to the grant billing activity. The grant ineligible calculator can be used to calculate the threshold amount. If costs exceed the threshold, the result will be an ODL  as they will not funds distribute to the grant billing activity. If labor will not be charged to the grant collection activity then use this sequence for eligible grant costs as noted below under </t>
    </r>
    <r>
      <rPr>
        <b/>
        <sz val="11"/>
        <color rgb="FF000000"/>
        <rFont val="Calibri"/>
        <family val="2"/>
        <scheme val="minor"/>
      </rPr>
      <t>Sequence 3</t>
    </r>
    <r>
      <rPr>
        <sz val="11"/>
        <color rgb="FF000000"/>
        <rFont val="Calibri"/>
        <family val="2"/>
        <scheme val="minor"/>
      </rPr>
      <t>.</t>
    </r>
  </si>
  <si>
    <r>
      <rPr>
        <b/>
        <sz val="11"/>
        <color theme="1"/>
        <rFont val="Calibri"/>
        <family val="2"/>
        <scheme val="minor"/>
      </rPr>
      <t xml:space="preserve">Subsequent Sequences: </t>
    </r>
    <r>
      <rPr>
        <sz val="11"/>
        <color theme="1"/>
        <rFont val="Calibri"/>
        <family val="2"/>
        <scheme val="minor"/>
      </rPr>
      <t>Subsequent sequences are used in two ways. 
(1) Primarily subsequent sequences are used to cover costs in excess of the grant agreement including any match requirement.
(2) For projects with more complex funding matrix, subsequent sequences may also be used to revise the funding mix between all the sources of funding for the project. For example if a project is funded by multiple grants, local sources of funds, and partnership agreements, the percentage of costs each source of funds covers will change over the life of the project. Reasons for the change may include, maxing out a particular source of funds, ensuring a particular grant doesn't exceed its established participation rate, or in the case of decreased cost estimates ensuring an appropriate pro rata share of costs for all fund sources over the life of a project.</t>
    </r>
  </si>
  <si>
    <r>
      <rPr>
        <b/>
        <sz val="11"/>
        <color theme="1"/>
        <rFont val="Calibri"/>
        <family val="2"/>
        <scheme val="minor"/>
      </rPr>
      <t>Sequence 3:</t>
    </r>
    <r>
      <rPr>
        <sz val="11"/>
        <color theme="1"/>
        <rFont val="Calibri"/>
        <family val="2"/>
        <scheme val="minor"/>
      </rPr>
      <t xml:space="preserve"> The purpose of this sequence is to funds distribute eligible grant costs to the grant billing activity. The threshold will be the grant award plus any required match. As noted above under Sequence 2, if no labor will be charged to the grant collection activity then use Sequence 2 as the first sequence for eligible grant costs. The first line will be the costs to be distributed (i.e. reimbursed by) the grant. Subsequent lines are needed when the grant has a matching requirement. Match is generally paid for by a local source of funds. However, state grants can also be used to match federal grants. Grant funding sources are not maintained for the drop down list. You will need to hard code the grant funding source into this form.</t>
    </r>
  </si>
  <si>
    <r>
      <rPr>
        <b/>
        <sz val="11"/>
        <color theme="1"/>
        <rFont val="Calibri"/>
        <family val="2"/>
        <scheme val="minor"/>
      </rPr>
      <t xml:space="preserve">Sequence 1: </t>
    </r>
    <r>
      <rPr>
        <sz val="11"/>
        <color theme="1"/>
        <rFont val="Calibri"/>
        <family val="2"/>
        <scheme val="minor"/>
      </rPr>
      <t>The purpose of this sequence is to divert ineligible equipment and 1% for art costs from being funds distributed to the grant billing activity.  The threshold should be set artificially high in order to prevent ineligible costs being funds distributed to the grant billing activity.  The fund/fund source should be local funds budgeted to the project.  If 1% Art should happen to hit the grant collection activity, it MUST be transferred to the 1% for Art activity (S0405).</t>
    </r>
  </si>
  <si>
    <t>Detail Project Description</t>
  </si>
  <si>
    <t>David Burgesser</t>
  </si>
  <si>
    <t>21st Ave S - Bayview to Walker</t>
  </si>
  <si>
    <t>TRC0338</t>
  </si>
  <si>
    <t>Low Cost Sidewalks</t>
  </si>
  <si>
    <t>Design and construct a new walkway with traffic calming and crossing improvements on 21st Ave S between S Bayview St and S Walker St. Council District 2, near Lake Washington Girls Middle School and the Giddens School.</t>
  </si>
  <si>
    <t>SDOT-105-B-001</t>
  </si>
  <si>
    <t>TRC0338_WP00000038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</si>
</sst>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quot;$&quot;#,##0"/>
  </numFmts>
  <fonts count="53" x14ac:knownFonts="1">
    <font>
      <sz val="11"/>
      <color theme="1"/>
      <name val="Calibri"/>
      <family val="2"/>
      <scheme val="minor"/>
    </font>
    <font>
      <sz val="11"/>
      <color theme="1"/>
      <name val="Calibri"/>
      <family val="2"/>
      <scheme val="minor"/>
    </font>
    <font>
      <sz val="8"/>
      <color rgb="FF000000"/>
      <name val="Tahoma"/>
      <family val="2"/>
    </font>
    <font>
      <sz val="11"/>
      <color rgb="FFFF0000"/>
      <name val="Calibri"/>
      <family val="2"/>
      <scheme val="minor"/>
    </font>
    <font>
      <b/>
      <sz val="11"/>
      <color theme="1"/>
      <name val="Calibri"/>
      <family val="2"/>
      <scheme val="minor"/>
    </font>
    <font>
      <b/>
      <sz val="16"/>
      <color theme="1"/>
      <name val="Calibri"/>
      <family val="2"/>
      <scheme val="minor"/>
    </font>
    <font>
      <i/>
      <sz val="10"/>
      <color theme="1"/>
      <name val="Calibri"/>
      <family val="2"/>
      <scheme val="minor"/>
    </font>
    <font>
      <sz val="11"/>
      <color theme="1"/>
      <name val="Calibri"/>
      <family val="2"/>
      <scheme val="minor"/>
    </font>
    <font>
      <b/>
      <u/>
      <sz val="11"/>
      <color theme="0"/>
      <name val="Calibri"/>
      <family val="2"/>
      <scheme val="minor"/>
    </font>
    <font>
      <sz val="11"/>
      <color theme="0"/>
      <name val="Calibri"/>
      <family val="2"/>
      <scheme val="minor"/>
    </font>
    <font>
      <sz val="11"/>
      <color theme="1"/>
      <name val="Calibri"/>
      <family val="2"/>
      <scheme val="minor"/>
    </font>
    <font>
      <sz val="11"/>
      <color rgb="FF0563CB"/>
      <name val="Calibri"/>
      <family val="2"/>
      <scheme val="minor"/>
    </font>
    <font>
      <b/>
      <i/>
      <sz val="9"/>
      <name val="Calibri"/>
      <family val="2"/>
      <scheme val="minor"/>
    </font>
    <font>
      <b/>
      <sz val="11"/>
      <color rgb="FF0563CB"/>
      <name val="Calibri"/>
      <family val="2"/>
      <scheme val="minor"/>
    </font>
    <font>
      <b/>
      <sz val="11"/>
      <name val="Calibri"/>
      <family val="2"/>
      <scheme val="minor"/>
    </font>
    <font>
      <sz val="11"/>
      <name val="Calibri"/>
      <family val="2"/>
      <scheme val="minor"/>
    </font>
    <font>
      <b/>
      <i/>
      <sz val="9"/>
      <color theme="4"/>
      <name val="Calibri"/>
      <family val="2"/>
      <scheme val="minor"/>
    </font>
    <font>
      <b/>
      <i/>
      <sz val="9"/>
      <color rgb="FF0563CB"/>
      <name val="Calibri"/>
      <family val="2"/>
      <scheme val="minor"/>
    </font>
    <font>
      <i/>
      <sz val="9"/>
      <color theme="1"/>
      <name val="Calibri"/>
      <family val="2"/>
      <scheme val="minor"/>
    </font>
    <font>
      <i/>
      <sz val="11"/>
      <color theme="1"/>
      <name val="Calibri"/>
      <family val="2"/>
      <scheme val="minor"/>
    </font>
    <font>
      <b/>
      <sz val="11"/>
      <color theme="0"/>
      <name val="Calibri"/>
      <family val="2"/>
      <scheme val="minor"/>
    </font>
    <font>
      <sz val="9"/>
      <color theme="1"/>
      <name val="Calibri"/>
      <family val="2"/>
      <scheme val="minor"/>
    </font>
    <font>
      <sz val="11"/>
      <color theme="1"/>
      <name val="Calibri"/>
      <family val="2"/>
      <scheme val="minor"/>
    </font>
    <font>
      <sz val="11"/>
      <color theme="1"/>
      <name val="Calibri"/>
      <family val="2"/>
      <scheme val="minor"/>
    </font>
    <font>
      <sz val="11"/>
      <color theme="0"/>
      <name val="Calibri"/>
      <family val="2"/>
      <scheme val="minor"/>
    </font>
    <font>
      <sz val="11"/>
      <color rgb="FF0563CB"/>
      <name val="Calibri"/>
      <family val="2"/>
      <scheme val="minor"/>
    </font>
    <font>
      <b/>
      <i/>
      <sz val="11"/>
      <color theme="4"/>
      <name val="Calibri"/>
      <family val="2"/>
      <scheme val="minor"/>
    </font>
    <font>
      <b/>
      <i/>
      <sz val="11"/>
      <color rgb="FF0563CB"/>
      <name val="Calibri"/>
      <family val="2"/>
      <scheme val="minor"/>
    </font>
    <font>
      <sz val="11"/>
      <name val="Calibri"/>
      <family val="2"/>
      <scheme val="minor"/>
    </font>
    <font>
      <i/>
      <sz val="11"/>
      <color theme="1"/>
      <name val="Calibri"/>
      <family val="2"/>
      <scheme val="minor"/>
    </font>
    <font>
      <i/>
      <sz val="10"/>
      <color theme="1"/>
      <name val="Calibri"/>
      <family val="2"/>
      <scheme val="minor"/>
    </font>
    <font>
      <b/>
      <i/>
      <sz val="10"/>
      <color theme="4"/>
      <name val="Calibri"/>
      <family val="2"/>
      <scheme val="minor"/>
    </font>
    <font>
      <b/>
      <i/>
      <sz val="9"/>
      <color theme="8" tint="-0.499984740745262"/>
      <name val="Calibri"/>
      <family val="2"/>
      <scheme val="minor"/>
    </font>
    <font>
      <i/>
      <sz val="9"/>
      <color theme="8" tint="-0.499984740745262"/>
      <name val="Calibri"/>
      <family val="2"/>
      <scheme val="minor"/>
    </font>
    <font>
      <i/>
      <sz val="9"/>
      <color theme="4"/>
      <name val="Calibri"/>
      <family val="2"/>
      <scheme val="minor"/>
    </font>
    <font>
      <u/>
      <sz val="11"/>
      <color theme="1"/>
      <name val="Calibri"/>
      <family val="2"/>
      <scheme val="minor"/>
    </font>
    <font>
      <b/>
      <sz val="11"/>
      <color rgb="FFFF0000"/>
      <name val="Calibri"/>
      <family val="2"/>
      <scheme val="minor"/>
    </font>
    <font>
      <sz val="12"/>
      <color theme="1"/>
      <name val="Calibri"/>
      <family val="2"/>
      <scheme val="minor"/>
    </font>
    <font>
      <b/>
      <sz val="12"/>
      <color theme="0"/>
      <name val="Calibri"/>
      <family val="2"/>
      <scheme val="minor"/>
    </font>
    <font>
      <b/>
      <i/>
      <sz val="11"/>
      <color theme="1"/>
      <name val="Calibri"/>
      <family val="2"/>
      <scheme val="minor"/>
    </font>
    <font>
      <b/>
      <sz val="18"/>
      <color theme="1"/>
      <name val="Calibri"/>
      <family val="2"/>
      <scheme val="minor"/>
    </font>
    <font>
      <sz val="14"/>
      <color theme="1"/>
      <name val="Calibri"/>
      <family val="2"/>
      <scheme val="minor"/>
    </font>
    <font>
      <sz val="8"/>
      <name val="Calibri"/>
      <family val="2"/>
      <scheme val="minor"/>
    </font>
    <font>
      <u/>
      <sz val="11"/>
      <color theme="10"/>
      <name val="Calibri"/>
      <family val="2"/>
      <scheme val="minor"/>
    </font>
    <font>
      <sz val="9"/>
      <color indexed="81"/>
      <name val="Tahoma"/>
      <family val="2"/>
    </font>
    <font>
      <sz val="11"/>
      <color indexed="81"/>
      <name val="Calibri"/>
      <family val="2"/>
      <scheme val="minor"/>
    </font>
    <font>
      <b/>
      <sz val="11"/>
      <color theme="8" tint="-0.249977111117893"/>
      <name val="Calibri"/>
      <family val="2"/>
      <scheme val="minor"/>
    </font>
    <font>
      <b/>
      <i/>
      <sz val="11"/>
      <color theme="8" tint="-0.249977111117893"/>
      <name val="Calibri"/>
      <family val="2"/>
      <scheme val="minor"/>
    </font>
    <font>
      <b/>
      <sz val="11"/>
      <color rgb="FF000000"/>
      <name val="Calibri"/>
      <family val="2"/>
      <scheme val="minor"/>
    </font>
    <font>
      <sz val="11"/>
      <color rgb="FF000000"/>
      <name val="Calibri"/>
      <family val="2"/>
      <scheme val="minor"/>
    </font>
    <font>
      <b/>
      <sz val="9"/>
      <color indexed="81"/>
      <name val="Tahoma"/>
      <family val="2"/>
    </font>
    <font>
      <b/>
      <sz val="11"/>
      <color indexed="81"/>
      <name val="Calibri"/>
      <family val="2"/>
      <scheme val="minor"/>
    </font>
    <font>
      <sz val="18"/>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1"/>
        <bgColor theme="1"/>
      </patternFill>
    </fill>
    <fill>
      <patternFill patternType="solid">
        <fgColor theme="6"/>
        <bgColor theme="6"/>
      </patternFill>
    </fill>
    <fill>
      <patternFill patternType="solid">
        <fgColor theme="2"/>
        <bgColor indexed="64"/>
      </patternFill>
    </fill>
    <fill>
      <patternFill patternType="solid">
        <fgColor theme="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bgColor indexed="64"/>
      </patternFill>
    </fill>
    <fill>
      <patternFill patternType="solid">
        <fgColor theme="6" tint="0.79998168889431442"/>
        <bgColor indexed="64"/>
      </patternFill>
    </fill>
  </fills>
  <borders count="59">
    <border>
      <left/>
      <right/>
      <top/>
      <bottom/>
      <diagonal/>
    </border>
    <border>
      <left/>
      <right style="medium">
        <color indexed="64"/>
      </right>
      <top/>
      <bottom style="medium">
        <color indexed="64"/>
      </bottom>
      <diagonal/>
    </border>
    <border>
      <left/>
      <right/>
      <top/>
      <bottom style="medium">
        <color indexed="64"/>
      </bottom>
      <diagonal/>
    </border>
    <border>
      <left/>
      <right style="medium">
        <color indexed="64"/>
      </right>
      <top/>
      <bottom/>
      <diagonal/>
    </border>
    <border>
      <left/>
      <right/>
      <top/>
      <bottom style="thin">
        <color indexed="64"/>
      </bottom>
      <diagonal/>
    </border>
    <border>
      <left/>
      <right style="medium">
        <color indexed="64"/>
      </right>
      <top style="medium">
        <color indexed="64"/>
      </top>
      <bottom/>
      <diagonal/>
    </border>
    <border>
      <left/>
      <right/>
      <top style="medium">
        <color indexed="64"/>
      </top>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theme="1"/>
      </left>
      <right style="thin">
        <color theme="1"/>
      </right>
      <top style="thin">
        <color theme="1"/>
      </top>
      <bottom/>
      <diagonal/>
    </border>
    <border>
      <left style="medium">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3" fillId="0" borderId="0" applyNumberFormat="0" applyFill="0" applyBorder="0" applyAlignment="0" applyProtection="0"/>
  </cellStyleXfs>
  <cellXfs count="456">
    <xf numFmtId="0" fontId="0" fillId="0" borderId="0" xfId="0"/>
    <xf numFmtId="0" fontId="4" fillId="0" borderId="0" xfId="0" applyFont="1"/>
    <xf numFmtId="0" fontId="0" fillId="0" borderId="0" xfId="0" applyAlignment="1">
      <alignment wrapText="1"/>
    </xf>
    <xf numFmtId="0" fontId="4" fillId="0" borderId="0" xfId="0" applyFont="1" applyAlignment="1">
      <alignment horizontal="left"/>
    </xf>
    <xf numFmtId="0" fontId="4" fillId="0" borderId="0" xfId="0" quotePrefix="1" applyFont="1"/>
    <xf numFmtId="0" fontId="20" fillId="4" borderId="43" xfId="0" applyFont="1" applyFill="1" applyBorder="1"/>
    <xf numFmtId="0" fontId="0" fillId="8" borderId="0" xfId="0" applyFill="1"/>
    <xf numFmtId="0" fontId="0" fillId="9" borderId="18" xfId="0" applyFill="1" applyBorder="1"/>
    <xf numFmtId="0" fontId="35" fillId="0" borderId="0" xfId="0" applyFont="1"/>
    <xf numFmtId="0" fontId="4" fillId="8" borderId="0" xfId="0" applyFont="1" applyFill="1"/>
    <xf numFmtId="0" fontId="0" fillId="8" borderId="0" xfId="0" applyFill="1" applyAlignment="1">
      <alignment wrapText="1"/>
    </xf>
    <xf numFmtId="0" fontId="4" fillId="7" borderId="0" xfId="0" applyFont="1" applyFill="1" applyAlignment="1">
      <alignment wrapText="1"/>
    </xf>
    <xf numFmtId="0" fontId="4" fillId="7" borderId="0" xfId="0" applyFont="1" applyFill="1"/>
    <xf numFmtId="0" fontId="0" fillId="10" borderId="18" xfId="0" applyFill="1" applyBorder="1"/>
    <xf numFmtId="0" fontId="0" fillId="10" borderId="18" xfId="0" applyFill="1" applyBorder="1" applyAlignment="1">
      <alignment wrapText="1"/>
    </xf>
    <xf numFmtId="0" fontId="0" fillId="2" borderId="0" xfId="0" applyFill="1"/>
    <xf numFmtId="0" fontId="4" fillId="0" borderId="0" xfId="0" applyFont="1" applyAlignment="1">
      <alignment horizontal="center"/>
    </xf>
    <xf numFmtId="0" fontId="0" fillId="9" borderId="18" xfId="0" applyFill="1" applyBorder="1" applyAlignment="1">
      <alignment wrapText="1"/>
    </xf>
    <xf numFmtId="0" fontId="17" fillId="2" borderId="0" xfId="0" applyFont="1" applyFill="1" applyAlignment="1" applyProtection="1">
      <alignment vertical="top"/>
      <protection locked="0"/>
    </xf>
    <xf numFmtId="0" fontId="17" fillId="2" borderId="0" xfId="0" applyFont="1" applyFill="1" applyAlignment="1" applyProtection="1">
      <alignment horizontal="left" vertical="top" wrapText="1"/>
      <protection locked="0"/>
    </xf>
    <xf numFmtId="0" fontId="23" fillId="2" borderId="26" xfId="0" applyFont="1" applyFill="1" applyBorder="1"/>
    <xf numFmtId="0" fontId="24" fillId="2" borderId="7" xfId="0" applyFont="1" applyFill="1" applyBorder="1"/>
    <xf numFmtId="0" fontId="23" fillId="2" borderId="7" xfId="0" applyFont="1" applyFill="1" applyBorder="1"/>
    <xf numFmtId="0" fontId="23" fillId="2" borderId="27" xfId="0" applyFont="1" applyFill="1" applyBorder="1"/>
    <xf numFmtId="0" fontId="23" fillId="2" borderId="23" xfId="0" applyFont="1" applyFill="1" applyBorder="1"/>
    <xf numFmtId="0" fontId="23" fillId="2" borderId="33" xfId="0" applyFont="1" applyFill="1" applyBorder="1"/>
    <xf numFmtId="0" fontId="25" fillId="2" borderId="0" xfId="0" applyFont="1" applyFill="1"/>
    <xf numFmtId="0" fontId="23" fillId="0" borderId="0" xfId="0" applyFont="1"/>
    <xf numFmtId="0" fontId="23" fillId="0" borderId="23" xfId="0" applyFont="1" applyBorder="1"/>
    <xf numFmtId="0" fontId="23" fillId="2" borderId="0" xfId="0" applyFont="1" applyFill="1" applyAlignment="1">
      <alignment horizontal="left" vertical="top" wrapText="1"/>
    </xf>
    <xf numFmtId="0" fontId="23" fillId="0" borderId="33" xfId="0" applyFont="1" applyBorder="1"/>
    <xf numFmtId="0" fontId="23" fillId="2" borderId="0" xfId="0" applyFont="1" applyFill="1"/>
    <xf numFmtId="0" fontId="29" fillId="2" borderId="0" xfId="0" applyFont="1" applyFill="1" applyAlignment="1">
      <alignment horizontal="left" wrapText="1"/>
    </xf>
    <xf numFmtId="0" fontId="23" fillId="2" borderId="0" xfId="0" applyFont="1" applyFill="1" applyAlignment="1">
      <alignment vertical="center" wrapText="1"/>
    </xf>
    <xf numFmtId="0" fontId="29" fillId="2" borderId="0" xfId="0" applyFont="1" applyFill="1" applyAlignment="1">
      <alignment horizontal="left" vertical="center" wrapText="1"/>
    </xf>
    <xf numFmtId="0" fontId="30" fillId="2" borderId="0" xfId="0" applyFont="1" applyFill="1"/>
    <xf numFmtId="0" fontId="23" fillId="2" borderId="28" xfId="0" applyFont="1" applyFill="1" applyBorder="1"/>
    <xf numFmtId="0" fontId="23" fillId="2" borderId="4" xfId="0" applyFont="1" applyFill="1" applyBorder="1"/>
    <xf numFmtId="0" fontId="23" fillId="0" borderId="29" xfId="0" applyFont="1" applyBorder="1"/>
    <xf numFmtId="0" fontId="10" fillId="2" borderId="26" xfId="0" applyFont="1" applyFill="1" applyBorder="1"/>
    <xf numFmtId="0" fontId="10" fillId="2" borderId="7" xfId="0" applyFont="1" applyFill="1" applyBorder="1"/>
    <xf numFmtId="0" fontId="10" fillId="2" borderId="27" xfId="0" applyFont="1" applyFill="1" applyBorder="1"/>
    <xf numFmtId="0" fontId="10" fillId="0" borderId="0" xfId="0" applyFont="1"/>
    <xf numFmtId="0" fontId="10" fillId="2" borderId="23" xfId="0" applyFont="1" applyFill="1" applyBorder="1"/>
    <xf numFmtId="0" fontId="10" fillId="2" borderId="33" xfId="0" applyFont="1" applyFill="1" applyBorder="1"/>
    <xf numFmtId="0" fontId="14" fillId="2" borderId="0" xfId="0" applyFont="1" applyFill="1"/>
    <xf numFmtId="0" fontId="12" fillId="2" borderId="0" xfId="0" applyFont="1" applyFill="1"/>
    <xf numFmtId="0" fontId="11" fillId="2" borderId="0" xfId="0" applyFont="1" applyFill="1"/>
    <xf numFmtId="0" fontId="10" fillId="2" borderId="0" xfId="0" applyFont="1" applyFill="1"/>
    <xf numFmtId="43" fontId="10" fillId="2" borderId="0" xfId="1" applyFont="1" applyFill="1" applyAlignment="1">
      <alignment horizontal="center" vertical="center"/>
    </xf>
    <xf numFmtId="0" fontId="10" fillId="0" borderId="18" xfId="0" applyFont="1" applyBorder="1"/>
    <xf numFmtId="0" fontId="13" fillId="2" borderId="36" xfId="0" applyFont="1" applyFill="1" applyBorder="1" applyAlignment="1">
      <alignment horizontal="center"/>
    </xf>
    <xf numFmtId="0" fontId="13" fillId="2" borderId="6" xfId="0" applyFont="1" applyFill="1" applyBorder="1" applyAlignment="1">
      <alignment horizontal="center"/>
    </xf>
    <xf numFmtId="0" fontId="13" fillId="2" borderId="5" xfId="0" applyFont="1" applyFill="1" applyBorder="1" applyAlignment="1">
      <alignment horizontal="center"/>
    </xf>
    <xf numFmtId="0" fontId="16" fillId="2" borderId="37" xfId="0" applyFont="1" applyFill="1" applyBorder="1" applyAlignment="1">
      <alignment vertical="top"/>
    </xf>
    <xf numFmtId="0" fontId="17" fillId="2" borderId="0" xfId="0" applyFont="1" applyFill="1" applyAlignment="1">
      <alignment vertical="top"/>
    </xf>
    <xf numFmtId="0" fontId="17" fillId="2" borderId="0" xfId="0" applyFont="1" applyFill="1" applyAlignment="1">
      <alignment horizontal="left" vertical="top" wrapText="1"/>
    </xf>
    <xf numFmtId="0" fontId="10" fillId="2" borderId="3" xfId="0" applyFont="1" applyFill="1" applyBorder="1"/>
    <xf numFmtId="0" fontId="17" fillId="2" borderId="37" xfId="0" applyFont="1" applyFill="1" applyBorder="1" applyAlignment="1">
      <alignment horizontal="left" vertical="top" wrapText="1"/>
    </xf>
    <xf numFmtId="0" fontId="16" fillId="2" borderId="0" xfId="0" applyFont="1" applyFill="1" applyAlignment="1">
      <alignment horizontal="left" vertical="top"/>
    </xf>
    <xf numFmtId="0" fontId="16" fillId="2" borderId="0" xfId="0" applyFont="1" applyFill="1" applyAlignment="1">
      <alignment vertical="top"/>
    </xf>
    <xf numFmtId="0" fontId="19" fillId="2" borderId="37" xfId="0" applyFont="1" applyFill="1" applyBorder="1"/>
    <xf numFmtId="0" fontId="0" fillId="2" borderId="0" xfId="0" applyFill="1" applyAlignment="1">
      <alignment horizontal="left"/>
    </xf>
    <xf numFmtId="0" fontId="0" fillId="2" borderId="0" xfId="0" applyFill="1" applyAlignment="1">
      <alignment horizontal="right"/>
    </xf>
    <xf numFmtId="0" fontId="10" fillId="2" borderId="37" xfId="0" applyFont="1" applyFill="1" applyBorder="1"/>
    <xf numFmtId="0" fontId="19" fillId="0" borderId="18" xfId="0" applyFont="1" applyBorder="1"/>
    <xf numFmtId="0" fontId="10" fillId="6" borderId="18" xfId="0" applyFont="1" applyFill="1" applyBorder="1"/>
    <xf numFmtId="0" fontId="20" fillId="0" borderId="0" xfId="0" applyFont="1" applyAlignment="1">
      <alignment vertical="center"/>
    </xf>
    <xf numFmtId="9" fontId="10" fillId="0" borderId="0" xfId="3" applyFont="1" applyAlignment="1">
      <alignment vertical="center" wrapText="1"/>
    </xf>
    <xf numFmtId="0" fontId="18" fillId="2" borderId="0" xfId="0" applyFont="1" applyFill="1" applyAlignment="1">
      <alignment horizontal="center"/>
    </xf>
    <xf numFmtId="9" fontId="14" fillId="2" borderId="0" xfId="3" applyFont="1" applyFill="1"/>
    <xf numFmtId="0" fontId="10" fillId="0" borderId="0" xfId="0" applyFont="1" applyAlignment="1">
      <alignment horizontal="left"/>
    </xf>
    <xf numFmtId="164" fontId="10" fillId="0" borderId="0" xfId="0" applyNumberFormat="1" applyFont="1"/>
    <xf numFmtId="0" fontId="10" fillId="2" borderId="38" xfId="0" applyFont="1" applyFill="1" applyBorder="1"/>
    <xf numFmtId="0" fontId="10" fillId="2" borderId="2" xfId="0" applyFont="1" applyFill="1" applyBorder="1"/>
    <xf numFmtId="0" fontId="18" fillId="2" borderId="2" xfId="0" applyFont="1" applyFill="1" applyBorder="1" applyAlignment="1">
      <alignment horizontal="center"/>
    </xf>
    <xf numFmtId="0" fontId="10" fillId="2" borderId="2" xfId="0" applyFont="1" applyFill="1" applyBorder="1" applyAlignment="1">
      <alignment horizontal="center"/>
    </xf>
    <xf numFmtId="9" fontId="14" fillId="2" borderId="2" xfId="3" applyFont="1" applyFill="1" applyBorder="1"/>
    <xf numFmtId="0" fontId="10" fillId="2" borderId="1" xfId="0" applyFont="1" applyFill="1" applyBorder="1"/>
    <xf numFmtId="0" fontId="13" fillId="2" borderId="0" xfId="0" applyFont="1" applyFill="1" applyAlignment="1">
      <alignment horizontal="center"/>
    </xf>
    <xf numFmtId="0" fontId="10" fillId="2" borderId="28" xfId="0" applyFont="1" applyFill="1" applyBorder="1"/>
    <xf numFmtId="0" fontId="6" fillId="2" borderId="4" xfId="0" applyFont="1" applyFill="1" applyBorder="1"/>
    <xf numFmtId="0" fontId="10" fillId="2" borderId="4" xfId="0" applyFont="1" applyFill="1" applyBorder="1"/>
    <xf numFmtId="0" fontId="10" fillId="2" borderId="29" xfId="0" applyFont="1" applyFill="1" applyBorder="1"/>
    <xf numFmtId="0" fontId="5" fillId="2" borderId="0" xfId="0" applyFont="1" applyFill="1"/>
    <xf numFmtId="0" fontId="37" fillId="2" borderId="0" xfId="0" applyFont="1" applyFill="1"/>
    <xf numFmtId="0" fontId="4" fillId="2" borderId="0" xfId="0" applyFont="1" applyFill="1"/>
    <xf numFmtId="0" fontId="38" fillId="11" borderId="18" xfId="0" applyFont="1" applyFill="1" applyBorder="1" applyAlignment="1">
      <alignment horizontal="center" vertical="center" wrapText="1"/>
    </xf>
    <xf numFmtId="0" fontId="20" fillId="2" borderId="0" xfId="0" applyFont="1" applyFill="1" applyAlignment="1">
      <alignment horizontal="center" vertical="center" wrapText="1"/>
    </xf>
    <xf numFmtId="0" fontId="4" fillId="0" borderId="18" xfId="0" applyFont="1" applyBorder="1" applyAlignment="1">
      <alignment horizontal="left" vertical="top" wrapText="1"/>
    </xf>
    <xf numFmtId="0" fontId="4" fillId="2" borderId="0" xfId="0" applyFont="1" applyFill="1" applyAlignment="1">
      <alignment horizontal="left" vertical="top" wrapText="1"/>
    </xf>
    <xf numFmtId="0" fontId="0" fillId="2" borderId="0" xfId="0" applyFill="1" applyAlignment="1">
      <alignment horizontal="left" vertical="top" wrapText="1"/>
    </xf>
    <xf numFmtId="0" fontId="4" fillId="0" borderId="45" xfId="0" applyFont="1" applyBorder="1" applyAlignment="1">
      <alignment horizontal="left" vertical="top"/>
    </xf>
    <xf numFmtId="0" fontId="4" fillId="0" borderId="46" xfId="0" applyFont="1" applyBorder="1"/>
    <xf numFmtId="0" fontId="4" fillId="0" borderId="47" xfId="0" applyFont="1" applyBorder="1"/>
    <xf numFmtId="0" fontId="0" fillId="3" borderId="22" xfId="0" applyFill="1" applyBorder="1"/>
    <xf numFmtId="0" fontId="0" fillId="3" borderId="30" xfId="0" applyFill="1" applyBorder="1"/>
    <xf numFmtId="0" fontId="0" fillId="3" borderId="18" xfId="0" applyFill="1" applyBorder="1"/>
    <xf numFmtId="0" fontId="0" fillId="3" borderId="24" xfId="0" applyFill="1" applyBorder="1"/>
    <xf numFmtId="0" fontId="0" fillId="3" borderId="17" xfId="0" applyFill="1" applyBorder="1"/>
    <xf numFmtId="0" fontId="0" fillId="3" borderId="25" xfId="0" applyFill="1" applyBorder="1"/>
    <xf numFmtId="0" fontId="0" fillId="0" borderId="22" xfId="0" applyBorder="1"/>
    <xf numFmtId="0" fontId="0" fillId="0" borderId="30" xfId="0" applyBorder="1"/>
    <xf numFmtId="0" fontId="0" fillId="0" borderId="50" xfId="0" applyBorder="1"/>
    <xf numFmtId="0" fontId="0" fillId="0" borderId="51" xfId="0" applyBorder="1"/>
    <xf numFmtId="0" fontId="0" fillId="0" borderId="18" xfId="0" applyBorder="1"/>
    <xf numFmtId="0" fontId="0" fillId="0" borderId="24" xfId="0" applyBorder="1"/>
    <xf numFmtId="0" fontId="0" fillId="0" borderId="17" xfId="0" applyBorder="1"/>
    <xf numFmtId="0" fontId="0" fillId="0" borderId="25" xfId="0" applyBorder="1"/>
    <xf numFmtId="0" fontId="0" fillId="0" borderId="52" xfId="0" applyBorder="1"/>
    <xf numFmtId="0" fontId="0" fillId="0" borderId="53" xfId="0" applyBorder="1"/>
    <xf numFmtId="0" fontId="0" fillId="3" borderId="18" xfId="0" applyFill="1" applyBorder="1" applyAlignment="1">
      <alignment horizontal="left"/>
    </xf>
    <xf numFmtId="0" fontId="0" fillId="3" borderId="54" xfId="0" applyFill="1" applyBorder="1"/>
    <xf numFmtId="0" fontId="0" fillId="3" borderId="22" xfId="0" applyFill="1" applyBorder="1" applyAlignment="1">
      <alignment horizontal="left"/>
    </xf>
    <xf numFmtId="0" fontId="0" fillId="3" borderId="50" xfId="0" applyFill="1" applyBorder="1" applyAlignment="1">
      <alignment horizontal="left"/>
    </xf>
    <xf numFmtId="0" fontId="0" fillId="3" borderId="51" xfId="0" applyFill="1" applyBorder="1"/>
    <xf numFmtId="0" fontId="0" fillId="3" borderId="50" xfId="0" applyFill="1" applyBorder="1"/>
    <xf numFmtId="0" fontId="0" fillId="0" borderId="22" xfId="0" applyBorder="1" applyAlignment="1">
      <alignment horizontal="left"/>
    </xf>
    <xf numFmtId="0" fontId="0" fillId="0" borderId="55" xfId="0" applyBorder="1"/>
    <xf numFmtId="0" fontId="0" fillId="0" borderId="55" xfId="0" applyBorder="1" applyAlignment="1">
      <alignment horizontal="left"/>
    </xf>
    <xf numFmtId="0" fontId="0" fillId="0" borderId="56" xfId="0" applyBorder="1"/>
    <xf numFmtId="0" fontId="4" fillId="0" borderId="18" xfId="0" applyFont="1" applyBorder="1"/>
    <xf numFmtId="0" fontId="4" fillId="2" borderId="0" xfId="0" applyFont="1" applyFill="1" applyAlignment="1">
      <alignment horizontal="center"/>
    </xf>
    <xf numFmtId="0" fontId="0" fillId="3" borderId="18" xfId="0" applyFill="1" applyBorder="1" applyAlignment="1">
      <alignment horizontal="center" vertical="center"/>
    </xf>
    <xf numFmtId="0" fontId="0" fillId="12" borderId="18" xfId="0" applyFill="1" applyBorder="1" applyAlignment="1">
      <alignment horizontal="center" vertical="center"/>
    </xf>
    <xf numFmtId="0" fontId="10" fillId="2" borderId="0" xfId="0" applyFont="1" applyFill="1" applyAlignment="1">
      <alignment horizontal="left"/>
    </xf>
    <xf numFmtId="0" fontId="10" fillId="2" borderId="0" xfId="0" applyFont="1" applyFill="1" applyAlignment="1">
      <alignment horizontal="center" vertical="center"/>
    </xf>
    <xf numFmtId="0" fontId="0" fillId="2" borderId="0" xfId="0" applyFill="1" applyAlignment="1">
      <alignment horizontal="left" vertical="center" wrapText="1"/>
    </xf>
    <xf numFmtId="0" fontId="10" fillId="2" borderId="0" xfId="0" applyFont="1" applyFill="1" applyAlignment="1">
      <alignment horizontal="left" vertical="center" wrapText="1"/>
    </xf>
    <xf numFmtId="0" fontId="10" fillId="2" borderId="0" xfId="1" applyNumberFormat="1" applyFont="1" applyFill="1" applyAlignment="1">
      <alignment horizontal="center" vertical="center"/>
    </xf>
    <xf numFmtId="0" fontId="0" fillId="0" borderId="16" xfId="0" applyBorder="1" applyAlignment="1">
      <alignment horizontal="left" vertical="center"/>
    </xf>
    <xf numFmtId="43" fontId="10" fillId="2" borderId="33" xfId="1" applyFont="1" applyFill="1" applyBorder="1" applyAlignment="1">
      <alignment vertical="center"/>
    </xf>
    <xf numFmtId="0" fontId="10" fillId="0" borderId="9" xfId="0" applyFont="1" applyBorder="1" applyAlignment="1">
      <alignment horizontal="left" vertical="center"/>
    </xf>
    <xf numFmtId="0" fontId="10" fillId="2" borderId="8" xfId="0" applyFont="1" applyFill="1" applyBorder="1" applyAlignment="1">
      <alignment horizontal="left" vertical="center" wrapText="1"/>
    </xf>
    <xf numFmtId="0" fontId="0" fillId="2" borderId="0" xfId="0" applyFill="1" applyAlignment="1">
      <alignment horizontal="left" wrapText="1"/>
    </xf>
    <xf numFmtId="0" fontId="10" fillId="2" borderId="0" xfId="0" applyFont="1" applyFill="1" applyAlignment="1">
      <alignment horizontal="left" wrapText="1"/>
    </xf>
    <xf numFmtId="0" fontId="31" fillId="2" borderId="0" xfId="0" applyFont="1" applyFill="1" applyAlignment="1">
      <alignment horizontal="center" vertical="center" wrapText="1"/>
    </xf>
    <xf numFmtId="0" fontId="16" fillId="2" borderId="36" xfId="0" applyFont="1" applyFill="1" applyBorder="1"/>
    <xf numFmtId="0" fontId="32" fillId="2" borderId="6" xfId="0" applyFont="1" applyFill="1" applyBorder="1" applyAlignment="1">
      <alignment vertical="top"/>
    </xf>
    <xf numFmtId="43" fontId="33" fillId="2" borderId="6" xfId="1" applyFont="1" applyFill="1" applyBorder="1" applyAlignment="1">
      <alignment horizontal="center" vertical="center"/>
    </xf>
    <xf numFmtId="0" fontId="33" fillId="2" borderId="6" xfId="0" applyFont="1" applyFill="1" applyBorder="1"/>
    <xf numFmtId="14" fontId="33" fillId="2" borderId="6" xfId="0" applyNumberFormat="1" applyFont="1" applyFill="1" applyBorder="1"/>
    <xf numFmtId="14" fontId="33" fillId="2" borderId="5" xfId="0" applyNumberFormat="1" applyFont="1" applyFill="1" applyBorder="1"/>
    <xf numFmtId="0" fontId="16" fillId="2" borderId="0" xfId="0" applyFont="1" applyFill="1"/>
    <xf numFmtId="14" fontId="34" fillId="2" borderId="0" xfId="0" applyNumberFormat="1" applyFont="1" applyFill="1" applyAlignment="1">
      <alignment horizontal="center"/>
    </xf>
    <xf numFmtId="14" fontId="34" fillId="2" borderId="3" xfId="0" applyNumberFormat="1" applyFont="1" applyFill="1" applyBorder="1" applyAlignment="1">
      <alignment horizontal="center"/>
    </xf>
    <xf numFmtId="0" fontId="10" fillId="2" borderId="0" xfId="0" applyFont="1" applyFill="1" applyAlignment="1">
      <alignment horizontal="center" wrapText="1"/>
    </xf>
    <xf numFmtId="43" fontId="15" fillId="2" borderId="0" xfId="1" applyFont="1" applyFill="1" applyAlignment="1">
      <alignment horizontal="center" vertical="center" wrapText="1"/>
    </xf>
    <xf numFmtId="0" fontId="19" fillId="0" borderId="32" xfId="0" applyFont="1" applyBorder="1"/>
    <xf numFmtId="0" fontId="10" fillId="6" borderId="32" xfId="0" applyFont="1" applyFill="1" applyBorder="1"/>
    <xf numFmtId="0" fontId="0" fillId="6" borderId="18" xfId="0" applyFill="1" applyBorder="1"/>
    <xf numFmtId="0" fontId="10" fillId="2" borderId="0" xfId="0" applyFont="1" applyFill="1" applyAlignment="1">
      <alignment horizontal="center"/>
    </xf>
    <xf numFmtId="0" fontId="10" fillId="3" borderId="18" xfId="0" applyFont="1" applyFill="1" applyBorder="1" applyProtection="1">
      <protection locked="0"/>
    </xf>
    <xf numFmtId="0" fontId="10" fillId="2" borderId="37" xfId="0" applyFont="1" applyFill="1" applyBorder="1" applyAlignment="1">
      <alignment horizontal="center"/>
    </xf>
    <xf numFmtId="0" fontId="10" fillId="0" borderId="31" xfId="0" applyFont="1" applyBorder="1" applyAlignment="1">
      <alignment horizontal="left"/>
    </xf>
    <xf numFmtId="0" fontId="10" fillId="0" borderId="22" xfId="0" applyFont="1" applyBorder="1" applyAlignment="1">
      <alignment horizontal="left"/>
    </xf>
    <xf numFmtId="0" fontId="0" fillId="0" borderId="34" xfId="0" applyBorder="1" applyAlignment="1">
      <alignment horizontal="left" wrapText="1"/>
    </xf>
    <xf numFmtId="0" fontId="13" fillId="2" borderId="37" xfId="0" applyFont="1" applyFill="1" applyBorder="1" applyAlignment="1">
      <alignment horizontal="center"/>
    </xf>
    <xf numFmtId="0" fontId="13" fillId="2" borderId="3" xfId="0" applyFont="1" applyFill="1" applyBorder="1" applyAlignment="1">
      <alignment horizontal="center"/>
    </xf>
    <xf numFmtId="0" fontId="17" fillId="2" borderId="37" xfId="0" applyFont="1" applyFill="1" applyBorder="1" applyAlignment="1">
      <alignment horizontal="right" vertical="top" wrapText="1"/>
    </xf>
    <xf numFmtId="0" fontId="17" fillId="2" borderId="0" xfId="0" applyFont="1" applyFill="1" applyAlignment="1">
      <alignment horizontal="right" vertical="top" wrapText="1"/>
    </xf>
    <xf numFmtId="0" fontId="18" fillId="2" borderId="0" xfId="0" applyFont="1" applyFill="1" applyAlignment="1" applyProtection="1">
      <alignment horizontal="center"/>
      <protection locked="0"/>
    </xf>
    <xf numFmtId="0" fontId="17" fillId="2" borderId="0" xfId="0" applyFont="1" applyFill="1" applyAlignment="1">
      <alignment horizontal="right" vertical="top"/>
    </xf>
    <xf numFmtId="0" fontId="18" fillId="2" borderId="3" xfId="0" applyFont="1" applyFill="1" applyBorder="1" applyAlignment="1" applyProtection="1">
      <alignment horizontal="center"/>
      <protection locked="0"/>
    </xf>
    <xf numFmtId="0" fontId="0" fillId="0" borderId="32" xfId="0" applyBorder="1"/>
    <xf numFmtId="0" fontId="23" fillId="2" borderId="0" xfId="0" applyFont="1" applyFill="1" applyAlignment="1">
      <alignment horizontal="left"/>
    </xf>
    <xf numFmtId="0" fontId="0" fillId="2" borderId="0" xfId="0" applyFill="1" applyAlignment="1" applyProtection="1">
      <alignment horizontal="center" vertical="center"/>
      <protection locked="0"/>
    </xf>
    <xf numFmtId="0" fontId="23" fillId="2" borderId="0" xfId="0" applyFont="1" applyFill="1" applyAlignment="1" applyProtection="1">
      <alignment horizontal="center" vertical="center"/>
      <protection locked="0"/>
    </xf>
    <xf numFmtId="0" fontId="23" fillId="2" borderId="0" xfId="0" applyFont="1" applyFill="1" applyAlignment="1">
      <alignment horizontal="left" vertical="center" wrapText="1"/>
    </xf>
    <xf numFmtId="0" fontId="0" fillId="2" borderId="5" xfId="0" applyFill="1" applyBorder="1" applyAlignment="1">
      <alignment horizontal="left"/>
    </xf>
    <xf numFmtId="0" fontId="3" fillId="2" borderId="33" xfId="0" quotePrefix="1" applyFont="1" applyFill="1" applyBorder="1"/>
    <xf numFmtId="0" fontId="0" fillId="2" borderId="33" xfId="0" quotePrefix="1" applyFill="1" applyBorder="1"/>
    <xf numFmtId="0" fontId="0" fillId="0" borderId="33" xfId="0" quotePrefix="1" applyBorder="1"/>
    <xf numFmtId="0" fontId="0" fillId="2" borderId="33" xfId="0" applyFill="1" applyBorder="1"/>
    <xf numFmtId="0" fontId="10" fillId="0" borderId="4" xfId="0" applyFont="1" applyBorder="1"/>
    <xf numFmtId="43" fontId="10" fillId="2" borderId="0" xfId="1" applyFont="1" applyFill="1" applyAlignment="1">
      <alignment vertical="center"/>
    </xf>
    <xf numFmtId="0" fontId="10" fillId="2" borderId="42" xfId="0" applyFont="1" applyFill="1" applyBorder="1"/>
    <xf numFmtId="0" fontId="10" fillId="0" borderId="12" xfId="0" applyFont="1" applyBorder="1"/>
    <xf numFmtId="0" fontId="18" fillId="2" borderId="12" xfId="0" applyFont="1" applyFill="1" applyBorder="1" applyAlignment="1">
      <alignment horizontal="center"/>
    </xf>
    <xf numFmtId="0" fontId="10" fillId="2" borderId="12" xfId="0" applyFont="1" applyFill="1" applyBorder="1" applyAlignment="1">
      <alignment horizontal="center"/>
    </xf>
    <xf numFmtId="9" fontId="14" fillId="2" borderId="12" xfId="3" applyFont="1" applyFill="1" applyBorder="1"/>
    <xf numFmtId="0" fontId="10" fillId="2" borderId="12" xfId="0" applyFont="1" applyFill="1" applyBorder="1"/>
    <xf numFmtId="0" fontId="10" fillId="2" borderId="11" xfId="0" applyFont="1" applyFill="1" applyBorder="1"/>
    <xf numFmtId="0" fontId="10" fillId="2" borderId="6" xfId="0" applyFont="1" applyFill="1" applyBorder="1"/>
    <xf numFmtId="10" fontId="15" fillId="3" borderId="18" xfId="3" applyNumberFormat="1" applyFont="1" applyFill="1" applyBorder="1" applyProtection="1">
      <protection locked="0"/>
    </xf>
    <xf numFmtId="0" fontId="23" fillId="2" borderId="0" xfId="0" applyFont="1" applyFill="1" applyAlignment="1" applyProtection="1">
      <alignment horizontal="left" vertical="top" wrapText="1"/>
      <protection locked="0"/>
    </xf>
    <xf numFmtId="0" fontId="46" fillId="2" borderId="39" xfId="0" applyFont="1" applyFill="1" applyBorder="1" applyAlignment="1">
      <alignment horizontal="centerContinuous" vertical="center"/>
    </xf>
    <xf numFmtId="0" fontId="26" fillId="2" borderId="16" xfId="0" applyFont="1" applyFill="1" applyBorder="1" applyAlignment="1">
      <alignment horizontal="centerContinuous" vertical="center"/>
    </xf>
    <xf numFmtId="0" fontId="27" fillId="2" borderId="16" xfId="0" applyFont="1" applyFill="1" applyBorder="1" applyAlignment="1">
      <alignment horizontal="centerContinuous" vertical="center"/>
    </xf>
    <xf numFmtId="0" fontId="27" fillId="2" borderId="15" xfId="0" applyFont="1" applyFill="1" applyBorder="1" applyAlignment="1">
      <alignment horizontal="centerContinuous" vertical="center"/>
    </xf>
    <xf numFmtId="0" fontId="10" fillId="0" borderId="0" xfId="0" applyFont="1" applyAlignment="1">
      <alignment horizontal="right"/>
    </xf>
    <xf numFmtId="8" fontId="10" fillId="6" borderId="18" xfId="2" applyNumberFormat="1" applyFont="1" applyFill="1" applyBorder="1" applyAlignment="1">
      <alignment horizontal="center"/>
    </xf>
    <xf numFmtId="8" fontId="10" fillId="6" borderId="18" xfId="0" applyNumberFormat="1" applyFont="1" applyFill="1" applyBorder="1" applyAlignment="1">
      <alignment horizontal="center"/>
    </xf>
    <xf numFmtId="43" fontId="10" fillId="0" borderId="0" xfId="0" applyNumberFormat="1" applyFont="1"/>
    <xf numFmtId="43" fontId="10" fillId="0" borderId="0" xfId="0" applyNumberFormat="1" applyFont="1" applyAlignment="1">
      <alignment horizontal="left"/>
    </xf>
    <xf numFmtId="0" fontId="10" fillId="0" borderId="0" xfId="0" applyFont="1" applyAlignment="1">
      <alignment vertical="top"/>
    </xf>
    <xf numFmtId="0" fontId="0" fillId="2" borderId="38" xfId="0" applyFill="1" applyBorder="1" applyAlignment="1">
      <alignment horizontal="left"/>
    </xf>
    <xf numFmtId="0" fontId="23" fillId="2" borderId="2" xfId="0" applyFont="1" applyFill="1" applyBorder="1" applyAlignment="1">
      <alignment horizontal="left"/>
    </xf>
    <xf numFmtId="0" fontId="0" fillId="2" borderId="2" xfId="0" applyFill="1" applyBorder="1" applyAlignment="1">
      <alignment horizontal="left" vertical="center"/>
    </xf>
    <xf numFmtId="0" fontId="23" fillId="2" borderId="2" xfId="0" applyFont="1" applyFill="1" applyBorder="1" applyAlignment="1">
      <alignment horizontal="left" vertical="center" wrapText="1"/>
    </xf>
    <xf numFmtId="0" fontId="28" fillId="3" borderId="37" xfId="0" applyFont="1" applyFill="1" applyBorder="1" applyAlignment="1">
      <alignment horizontal="left" indent="3"/>
    </xf>
    <xf numFmtId="0" fontId="23" fillId="3" borderId="0" xfId="0" applyFont="1" applyFill="1"/>
    <xf numFmtId="0" fontId="23" fillId="3" borderId="0" xfId="0" applyFont="1" applyFill="1" applyProtection="1">
      <protection locked="0"/>
    </xf>
    <xf numFmtId="0" fontId="25" fillId="3" borderId="0" xfId="0" applyFont="1" applyFill="1"/>
    <xf numFmtId="0" fontId="28" fillId="3" borderId="0" xfId="0" applyFont="1" applyFill="1" applyAlignment="1">
      <alignment horizontal="left"/>
    </xf>
    <xf numFmtId="0" fontId="15" fillId="3" borderId="0" xfId="0" applyFont="1" applyFill="1" applyAlignment="1">
      <alignment horizontal="left"/>
    </xf>
    <xf numFmtId="0" fontId="25" fillId="3" borderId="3" xfId="0" applyFont="1" applyFill="1" applyBorder="1"/>
    <xf numFmtId="0" fontId="0" fillId="3" borderId="0" xfId="0" applyFill="1"/>
    <xf numFmtId="0" fontId="28" fillId="3" borderId="0" xfId="0" applyFont="1" applyFill="1"/>
    <xf numFmtId="0" fontId="7" fillId="0" borderId="0" xfId="0" applyFont="1"/>
    <xf numFmtId="0" fontId="8" fillId="4" borderId="0" xfId="0" applyFont="1" applyFill="1" applyAlignment="1">
      <alignment horizontal="left"/>
    </xf>
    <xf numFmtId="0" fontId="9" fillId="0" borderId="0" xfId="0" applyFont="1"/>
    <xf numFmtId="0" fontId="7" fillId="0" borderId="0" xfId="0" applyFont="1" applyAlignment="1">
      <alignment horizontal="left"/>
    </xf>
    <xf numFmtId="0" fontId="7" fillId="0" borderId="0" xfId="0" applyFont="1" applyAlignment="1">
      <alignment horizontal="left" wrapText="1"/>
    </xf>
    <xf numFmtId="0" fontId="0" fillId="0" borderId="0" xfId="0" applyAlignment="1">
      <alignment horizontal="left"/>
    </xf>
    <xf numFmtId="0" fontId="7" fillId="0" borderId="0" xfId="0" applyFont="1" applyAlignment="1">
      <alignment horizontal="right" wrapText="1"/>
    </xf>
    <xf numFmtId="0" fontId="8" fillId="5" borderId="0" xfId="0" applyFont="1" applyFill="1" applyAlignment="1">
      <alignment horizontal="left"/>
    </xf>
    <xf numFmtId="0" fontId="3" fillId="0" borderId="0" xfId="0" quotePrefix="1" applyFont="1"/>
    <xf numFmtId="0" fontId="0" fillId="0" borderId="0" xfId="0" quotePrefix="1"/>
    <xf numFmtId="0" fontId="43" fillId="10" borderId="28" xfId="4" applyFill="1" applyBorder="1"/>
    <xf numFmtId="0" fontId="10" fillId="10" borderId="4" xfId="0" applyFont="1" applyFill="1" applyBorder="1" applyAlignment="1">
      <alignment horizontal="right"/>
    </xf>
    <xf numFmtId="0" fontId="10" fillId="10" borderId="4" xfId="0" applyFont="1" applyFill="1" applyBorder="1"/>
    <xf numFmtId="0" fontId="10" fillId="10" borderId="29" xfId="0" applyFont="1" applyFill="1" applyBorder="1"/>
    <xf numFmtId="0" fontId="0" fillId="0" borderId="0" xfId="0" applyAlignment="1">
      <alignment vertical="top"/>
    </xf>
    <xf numFmtId="0" fontId="52" fillId="0" borderId="0" xfId="0" applyFont="1"/>
    <xf numFmtId="0" fontId="28" fillId="3" borderId="37" xfId="0" applyFont="1" applyFill="1" applyBorder="1" applyAlignment="1">
      <alignment horizontal="left" indent="3"/>
    </xf>
    <xf numFmtId="0" fontId="28" fillId="3" borderId="0" xfId="0" applyFont="1" applyFill="1" applyAlignment="1">
      <alignment horizontal="left" indent="3"/>
    </xf>
    <xf numFmtId="0" fontId="23" fillId="3" borderId="9" xfId="0" applyFont="1" applyFill="1" applyBorder="1" applyAlignment="1">
      <alignment horizontal="left"/>
    </xf>
    <xf numFmtId="0" fontId="23" fillId="3" borderId="19" xfId="0" applyFont="1" applyFill="1" applyBorder="1" applyAlignment="1">
      <alignment horizontal="left"/>
    </xf>
    <xf numFmtId="0" fontId="23" fillId="3" borderId="4" xfId="0" applyFont="1" applyFill="1" applyBorder="1" applyAlignment="1">
      <alignment horizontal="left"/>
    </xf>
    <xf numFmtId="0" fontId="23" fillId="3" borderId="58" xfId="0" applyFont="1" applyFill="1" applyBorder="1" applyAlignment="1">
      <alignment horizontal="left"/>
    </xf>
    <xf numFmtId="0" fontId="40" fillId="2" borderId="36" xfId="0" applyFont="1" applyFill="1" applyBorder="1" applyAlignment="1">
      <alignment horizontal="center"/>
    </xf>
    <xf numFmtId="0" fontId="40" fillId="2" borderId="6" xfId="0" applyFont="1" applyFill="1" applyBorder="1" applyAlignment="1">
      <alignment horizontal="center"/>
    </xf>
    <xf numFmtId="0" fontId="41" fillId="2" borderId="38" xfId="0" applyFont="1" applyFill="1" applyBorder="1" applyAlignment="1">
      <alignment horizontal="center"/>
    </xf>
    <xf numFmtId="0" fontId="41" fillId="2" borderId="2" xfId="0" applyFont="1" applyFill="1" applyBorder="1" applyAlignment="1">
      <alignment horizontal="center"/>
    </xf>
    <xf numFmtId="0" fontId="0" fillId="2" borderId="6" xfId="0" applyFill="1" applyBorder="1" applyAlignment="1">
      <alignment horizontal="left"/>
    </xf>
    <xf numFmtId="0" fontId="0" fillId="2" borderId="5" xfId="0" applyFill="1" applyBorder="1" applyAlignment="1">
      <alignment horizontal="left"/>
    </xf>
    <xf numFmtId="0" fontId="0" fillId="3" borderId="13" xfId="0" applyFill="1" applyBorder="1" applyAlignment="1" applyProtection="1">
      <alignment horizontal="center"/>
      <protection locked="0"/>
    </xf>
    <xf numFmtId="0" fontId="0" fillId="3" borderId="12" xfId="0" applyFill="1" applyBorder="1" applyAlignment="1" applyProtection="1">
      <alignment horizontal="center"/>
      <protection locked="0"/>
    </xf>
    <xf numFmtId="0" fontId="0" fillId="3" borderId="11" xfId="0" applyFill="1" applyBorder="1" applyAlignment="1" applyProtection="1">
      <alignment horizontal="center"/>
      <protection locked="0"/>
    </xf>
    <xf numFmtId="0" fontId="47" fillId="2" borderId="36" xfId="0" applyFont="1" applyFill="1" applyBorder="1" applyAlignment="1">
      <alignment horizontal="left" vertical="center" wrapText="1"/>
    </xf>
    <xf numFmtId="0" fontId="47" fillId="2" borderId="6" xfId="0" applyFont="1" applyFill="1" applyBorder="1" applyAlignment="1">
      <alignment horizontal="left" vertical="center" wrapText="1"/>
    </xf>
    <xf numFmtId="0" fontId="47" fillId="2" borderId="5" xfId="0" applyFont="1" applyFill="1" applyBorder="1" applyAlignment="1">
      <alignment horizontal="left" vertical="center" wrapText="1"/>
    </xf>
    <xf numFmtId="0" fontId="47" fillId="2" borderId="37" xfId="0" applyFont="1" applyFill="1" applyBorder="1" applyAlignment="1">
      <alignment horizontal="left" vertical="center" wrapText="1"/>
    </xf>
    <xf numFmtId="0" fontId="47" fillId="2" borderId="0" xfId="0" applyFont="1" applyFill="1" applyAlignment="1">
      <alignment horizontal="left" vertical="center" wrapText="1"/>
    </xf>
    <xf numFmtId="0" fontId="47" fillId="2" borderId="3" xfId="0" applyFont="1" applyFill="1" applyBorder="1" applyAlignment="1">
      <alignment horizontal="left" vertical="center" wrapText="1"/>
    </xf>
    <xf numFmtId="0" fontId="47" fillId="2" borderId="38" xfId="0" applyFont="1" applyFill="1" applyBorder="1" applyAlignment="1">
      <alignment horizontal="left" vertical="center" wrapText="1"/>
    </xf>
    <xf numFmtId="0" fontId="47" fillId="2" borderId="2" xfId="0" applyFont="1" applyFill="1" applyBorder="1" applyAlignment="1">
      <alignment horizontal="left" vertical="center" wrapText="1"/>
    </xf>
    <xf numFmtId="0" fontId="47" fillId="2" borderId="1" xfId="0" applyFont="1" applyFill="1" applyBorder="1" applyAlignment="1">
      <alignment horizontal="left" vertical="center" wrapText="1"/>
    </xf>
    <xf numFmtId="0" fontId="0" fillId="3" borderId="18" xfId="0" applyFill="1" applyBorder="1" applyAlignment="1" applyProtection="1">
      <alignment horizontal="center" vertical="center"/>
      <protection locked="0"/>
    </xf>
    <xf numFmtId="0" fontId="23" fillId="3" borderId="24" xfId="0" applyFont="1" applyFill="1" applyBorder="1" applyAlignment="1" applyProtection="1">
      <alignment horizontal="center" vertical="center"/>
      <protection locked="0"/>
    </xf>
    <xf numFmtId="0" fontId="19" fillId="2" borderId="38" xfId="0" applyFont="1" applyFill="1" applyBorder="1" applyAlignment="1">
      <alignment horizontal="left" wrapText="1"/>
    </xf>
    <xf numFmtId="0" fontId="29" fillId="2" borderId="2" xfId="0" applyFont="1" applyFill="1" applyBorder="1" applyAlignment="1">
      <alignment horizontal="left" wrapText="1"/>
    </xf>
    <xf numFmtId="0" fontId="29" fillId="2" borderId="1" xfId="0" applyFont="1" applyFill="1" applyBorder="1" applyAlignment="1">
      <alignment horizontal="left" wrapText="1"/>
    </xf>
    <xf numFmtId="0" fontId="46" fillId="2" borderId="36" xfId="0" applyFont="1" applyFill="1" applyBorder="1" applyAlignment="1">
      <alignment horizontal="center"/>
    </xf>
    <xf numFmtId="0" fontId="46" fillId="2" borderId="6" xfId="0" applyFont="1" applyFill="1" applyBorder="1" applyAlignment="1">
      <alignment horizontal="center"/>
    </xf>
    <xf numFmtId="0" fontId="46" fillId="2" borderId="5" xfId="0" applyFont="1" applyFill="1" applyBorder="1" applyAlignment="1">
      <alignment horizontal="center"/>
    </xf>
    <xf numFmtId="0" fontId="46" fillId="2" borderId="39" xfId="0" applyFont="1" applyFill="1" applyBorder="1" applyAlignment="1">
      <alignment horizontal="left" vertical="center" wrapText="1"/>
    </xf>
    <xf numFmtId="0" fontId="46" fillId="2" borderId="16" xfId="0" applyFont="1" applyFill="1" applyBorder="1" applyAlignment="1">
      <alignment horizontal="left" vertical="center" wrapText="1"/>
    </xf>
    <xf numFmtId="0" fontId="46" fillId="2" borderId="15" xfId="0" applyFont="1" applyFill="1" applyBorder="1" applyAlignment="1">
      <alignment horizontal="left" vertical="center" wrapText="1"/>
    </xf>
    <xf numFmtId="0" fontId="0" fillId="3" borderId="40" xfId="0" applyFill="1" applyBorder="1" applyAlignment="1" applyProtection="1">
      <alignment horizontal="left" vertical="top" wrapText="1"/>
      <protection locked="0"/>
    </xf>
    <xf numFmtId="0" fontId="23" fillId="3" borderId="7" xfId="0" applyFont="1" applyFill="1" applyBorder="1" applyAlignment="1" applyProtection="1">
      <alignment horizontal="left" vertical="top" wrapText="1"/>
      <protection locked="0"/>
    </xf>
    <xf numFmtId="0" fontId="23" fillId="3" borderId="14" xfId="0" applyFont="1" applyFill="1" applyBorder="1" applyAlignment="1" applyProtection="1">
      <alignment horizontal="left" vertical="top" wrapText="1"/>
      <protection locked="0"/>
    </xf>
    <xf numFmtId="0" fontId="23" fillId="3" borderId="37" xfId="0" applyFont="1" applyFill="1" applyBorder="1" applyAlignment="1" applyProtection="1">
      <alignment horizontal="left" vertical="top" wrapText="1"/>
      <protection locked="0"/>
    </xf>
    <xf numFmtId="0" fontId="23" fillId="3" borderId="0" xfId="0" applyFont="1" applyFill="1" applyAlignment="1" applyProtection="1">
      <alignment horizontal="left" vertical="top" wrapText="1"/>
      <protection locked="0"/>
    </xf>
    <xf numFmtId="0" fontId="23" fillId="3" borderId="3" xfId="0" applyFont="1" applyFill="1" applyBorder="1" applyAlignment="1" applyProtection="1">
      <alignment horizontal="left" vertical="top" wrapText="1"/>
      <protection locked="0"/>
    </xf>
    <xf numFmtId="0" fontId="23" fillId="3" borderId="38" xfId="0" applyFont="1" applyFill="1" applyBorder="1" applyAlignment="1" applyProtection="1">
      <alignment horizontal="left" vertical="top" wrapText="1"/>
      <protection locked="0"/>
    </xf>
    <xf numFmtId="0" fontId="23" fillId="3" borderId="2" xfId="0" applyFont="1" applyFill="1" applyBorder="1" applyAlignment="1" applyProtection="1">
      <alignment horizontal="left" vertical="top" wrapText="1"/>
      <protection locked="0"/>
    </xf>
    <xf numFmtId="0" fontId="23" fillId="3" borderId="1" xfId="0" applyFont="1" applyFill="1" applyBorder="1" applyAlignment="1" applyProtection="1">
      <alignment horizontal="left" vertical="top" wrapText="1"/>
      <protection locked="0"/>
    </xf>
    <xf numFmtId="0" fontId="0" fillId="0" borderId="41" xfId="0" applyBorder="1" applyAlignment="1">
      <alignment horizontal="left" vertical="center"/>
    </xf>
    <xf numFmtId="0" fontId="23" fillId="0" borderId="9" xfId="0" applyFont="1" applyBorder="1" applyAlignment="1">
      <alignment horizontal="left" vertical="center"/>
    </xf>
    <xf numFmtId="0" fontId="0" fillId="0" borderId="40" xfId="0" applyBorder="1" applyAlignment="1">
      <alignment horizontal="left" vertical="center"/>
    </xf>
    <xf numFmtId="0" fontId="23" fillId="0" borderId="7" xfId="0" applyFont="1" applyBorder="1" applyAlignment="1">
      <alignment horizontal="left" vertical="center"/>
    </xf>
    <xf numFmtId="0" fontId="23" fillId="0" borderId="27" xfId="0" applyFont="1" applyBorder="1" applyAlignment="1">
      <alignment horizontal="left" vertical="center"/>
    </xf>
    <xf numFmtId="0" fontId="0" fillId="2" borderId="41" xfId="0" applyFill="1" applyBorder="1" applyAlignment="1">
      <alignment horizontal="left"/>
    </xf>
    <xf numFmtId="0" fontId="23" fillId="2" borderId="9" xfId="0" applyFont="1" applyFill="1" applyBorder="1" applyAlignment="1">
      <alignment horizontal="left"/>
    </xf>
    <xf numFmtId="0" fontId="23" fillId="2" borderId="8" xfId="0" applyFont="1" applyFill="1" applyBorder="1" applyAlignment="1">
      <alignment horizontal="left"/>
    </xf>
    <xf numFmtId="0" fontId="0" fillId="0" borderId="9" xfId="0" applyBorder="1" applyAlignment="1">
      <alignment horizontal="left" vertical="center"/>
    </xf>
    <xf numFmtId="165" fontId="0" fillId="3" borderId="18" xfId="0" applyNumberFormat="1" applyFill="1" applyBorder="1" applyAlignment="1" applyProtection="1">
      <alignment horizontal="center" vertical="center"/>
      <protection locked="0"/>
    </xf>
    <xf numFmtId="165" fontId="23" fillId="3" borderId="24" xfId="0" applyNumberFormat="1" applyFont="1" applyFill="1" applyBorder="1" applyAlignment="1" applyProtection="1">
      <alignment horizontal="center" vertical="center"/>
      <protection locked="0"/>
    </xf>
    <xf numFmtId="0" fontId="23" fillId="3" borderId="18" xfId="0" applyFont="1" applyFill="1" applyBorder="1" applyAlignment="1" applyProtection="1">
      <alignment horizontal="center" vertical="center"/>
      <protection locked="0"/>
    </xf>
    <xf numFmtId="43" fontId="15" fillId="3" borderId="18" xfId="1" applyFont="1" applyFill="1" applyBorder="1" applyAlignment="1" applyProtection="1">
      <alignment horizontal="center" vertical="center" wrapText="1"/>
      <protection locked="0"/>
    </xf>
    <xf numFmtId="43" fontId="15" fillId="3" borderId="24" xfId="1" applyFont="1" applyFill="1" applyBorder="1" applyAlignment="1" applyProtection="1">
      <alignment horizontal="center" vertical="center" wrapText="1"/>
      <protection locked="0"/>
    </xf>
    <xf numFmtId="0" fontId="0" fillId="2" borderId="10" xfId="0" applyFill="1" applyBorder="1" applyAlignment="1">
      <alignment horizontal="left" vertical="center" wrapText="1"/>
    </xf>
    <xf numFmtId="0" fontId="23" fillId="2" borderId="9" xfId="0" applyFont="1" applyFill="1" applyBorder="1" applyAlignment="1">
      <alignment horizontal="left" vertical="center" wrapText="1"/>
    </xf>
    <xf numFmtId="0" fontId="23" fillId="2" borderId="8" xfId="0" applyFont="1" applyFill="1" applyBorder="1" applyAlignment="1">
      <alignment horizontal="left" vertical="center" wrapText="1"/>
    </xf>
    <xf numFmtId="0" fontId="0" fillId="0" borderId="26" xfId="0" applyBorder="1" applyAlignment="1">
      <alignment horizontal="left"/>
    </xf>
    <xf numFmtId="0" fontId="23" fillId="0" borderId="7" xfId="0" applyFont="1" applyBorder="1" applyAlignment="1">
      <alignment horizontal="left"/>
    </xf>
    <xf numFmtId="0" fontId="23" fillId="0" borderId="27" xfId="0" applyFont="1" applyBorder="1" applyAlignment="1">
      <alignment horizontal="left"/>
    </xf>
    <xf numFmtId="0" fontId="0" fillId="3" borderId="13" xfId="0" applyFill="1" applyBorder="1" applyAlignment="1" applyProtection="1">
      <alignment horizontal="center" vertical="center"/>
      <protection locked="0"/>
    </xf>
    <xf numFmtId="0" fontId="0" fillId="3" borderId="12" xfId="0" applyFill="1" applyBorder="1" applyAlignment="1" applyProtection="1">
      <alignment horizontal="center" vertical="center"/>
      <protection locked="0"/>
    </xf>
    <xf numFmtId="0" fontId="0" fillId="3" borderId="35" xfId="0" applyFill="1" applyBorder="1" applyAlignment="1" applyProtection="1">
      <alignment horizontal="center" vertical="center"/>
      <protection locked="0"/>
    </xf>
    <xf numFmtId="0" fontId="0" fillId="3" borderId="17" xfId="0" applyFill="1" applyBorder="1" applyAlignment="1" applyProtection="1">
      <alignment horizontal="center" vertical="center"/>
      <protection locked="0"/>
    </xf>
    <xf numFmtId="0" fontId="23" fillId="3" borderId="25" xfId="0" applyFont="1" applyFill="1" applyBorder="1" applyAlignment="1" applyProtection="1">
      <alignment horizontal="center" vertical="center"/>
      <protection locked="0"/>
    </xf>
    <xf numFmtId="43" fontId="0" fillId="3" borderId="18" xfId="1" applyFont="1" applyFill="1" applyBorder="1" applyAlignment="1" applyProtection="1">
      <alignment horizontal="center" vertical="center"/>
      <protection locked="0"/>
    </xf>
    <xf numFmtId="43" fontId="10" fillId="3" borderId="18" xfId="1" applyFont="1" applyFill="1" applyBorder="1" applyAlignment="1" applyProtection="1">
      <alignment horizontal="center" vertical="center"/>
      <protection locked="0"/>
    </xf>
    <xf numFmtId="0" fontId="0" fillId="0" borderId="34" xfId="0" applyBorder="1" applyAlignment="1">
      <alignment horizontal="left"/>
    </xf>
    <xf numFmtId="0" fontId="10" fillId="0" borderId="17" xfId="0" applyFont="1" applyBorder="1" applyAlignment="1">
      <alignment horizontal="left"/>
    </xf>
    <xf numFmtId="0" fontId="0" fillId="0" borderId="32" xfId="0" applyBorder="1" applyAlignment="1">
      <alignment horizontal="left"/>
    </xf>
    <xf numFmtId="0" fontId="10" fillId="0" borderId="18" xfId="0" applyFont="1" applyBorder="1" applyAlignment="1">
      <alignment horizontal="left"/>
    </xf>
    <xf numFmtId="0" fontId="0" fillId="0" borderId="8" xfId="0" applyBorder="1" applyAlignment="1">
      <alignment horizontal="left" wrapText="1"/>
    </xf>
    <xf numFmtId="0" fontId="10" fillId="0" borderId="18" xfId="0" applyFont="1" applyBorder="1" applyAlignment="1">
      <alignment horizontal="left" wrapText="1"/>
    </xf>
    <xf numFmtId="0" fontId="0" fillId="0" borderId="41" xfId="0" applyBorder="1" applyAlignment="1">
      <alignment horizontal="left"/>
    </xf>
    <xf numFmtId="0" fontId="10" fillId="0" borderId="8" xfId="0" applyFont="1" applyBorder="1" applyAlignment="1">
      <alignment horizontal="left"/>
    </xf>
    <xf numFmtId="0" fontId="10" fillId="2" borderId="8" xfId="0" applyFont="1" applyFill="1" applyBorder="1" applyAlignment="1">
      <alignment horizontal="left" wrapText="1"/>
    </xf>
    <xf numFmtId="0" fontId="10" fillId="2" borderId="18" xfId="0" applyFont="1" applyFill="1" applyBorder="1" applyAlignment="1">
      <alignment horizontal="left" wrapText="1"/>
    </xf>
    <xf numFmtId="43" fontId="10" fillId="3" borderId="24" xfId="1" applyFont="1" applyFill="1" applyBorder="1" applyAlignment="1" applyProtection="1">
      <alignment horizontal="center" vertical="center"/>
      <protection locked="0"/>
    </xf>
    <xf numFmtId="0" fontId="10" fillId="2" borderId="35" xfId="0" applyFont="1" applyFill="1" applyBorder="1" applyAlignment="1">
      <alignment horizontal="left" wrapText="1"/>
    </xf>
    <xf numFmtId="0" fontId="10" fillId="2" borderId="17" xfId="0" applyFont="1" applyFill="1" applyBorder="1" applyAlignment="1">
      <alignment horizontal="left" wrapText="1"/>
    </xf>
    <xf numFmtId="43" fontId="15" fillId="6" borderId="17" xfId="1" applyFont="1" applyFill="1" applyBorder="1" applyAlignment="1">
      <alignment horizontal="center" vertical="center" wrapText="1"/>
    </xf>
    <xf numFmtId="43" fontId="15" fillId="6" borderId="25" xfId="1" applyFont="1" applyFill="1" applyBorder="1" applyAlignment="1">
      <alignment horizontal="center" vertical="center" wrapText="1"/>
    </xf>
    <xf numFmtId="43" fontId="10" fillId="3" borderId="17" xfId="1" applyFont="1" applyFill="1" applyBorder="1" applyAlignment="1" applyProtection="1">
      <alignment horizontal="center" vertical="center"/>
      <protection locked="0"/>
    </xf>
    <xf numFmtId="0" fontId="0" fillId="3" borderId="10" xfId="0" applyFill="1" applyBorder="1" applyAlignment="1" applyProtection="1">
      <alignment horizontal="left"/>
      <protection locked="0"/>
    </xf>
    <xf numFmtId="0" fontId="10" fillId="3" borderId="8" xfId="0" applyFont="1" applyFill="1" applyBorder="1" applyAlignment="1" applyProtection="1">
      <alignment horizontal="left"/>
      <protection locked="0"/>
    </xf>
    <xf numFmtId="0" fontId="13" fillId="2" borderId="2" xfId="0" applyFont="1" applyFill="1" applyBorder="1" applyAlignment="1">
      <alignment horizontal="center"/>
    </xf>
    <xf numFmtId="0" fontId="13" fillId="2" borderId="0" xfId="0" applyFont="1" applyFill="1" applyAlignment="1">
      <alignment horizontal="center"/>
    </xf>
    <xf numFmtId="0" fontId="10" fillId="0" borderId="31" xfId="0" applyFont="1" applyBorder="1" applyAlignment="1">
      <alignment horizontal="left" vertical="center"/>
    </xf>
    <xf numFmtId="0" fontId="10" fillId="0" borderId="22" xfId="0" applyFont="1" applyBorder="1" applyAlignment="1">
      <alignment horizontal="left" vertical="center"/>
    </xf>
    <xf numFmtId="0" fontId="10" fillId="6" borderId="20" xfId="0" applyFont="1" applyFill="1" applyBorder="1" applyAlignment="1">
      <alignment horizontal="center" vertical="center"/>
    </xf>
    <xf numFmtId="0" fontId="10" fillId="6" borderId="16" xfId="0" applyFont="1" applyFill="1" applyBorder="1" applyAlignment="1">
      <alignment horizontal="center" vertical="center"/>
    </xf>
    <xf numFmtId="0" fontId="10" fillId="6" borderId="15" xfId="0" applyFont="1" applyFill="1" applyBorder="1" applyAlignment="1">
      <alignment horizontal="center" vertical="center"/>
    </xf>
    <xf numFmtId="0" fontId="10" fillId="0" borderId="21" xfId="0" applyFont="1" applyBorder="1" applyAlignment="1">
      <alignment horizontal="left" vertical="center"/>
    </xf>
    <xf numFmtId="6" fontId="10" fillId="6" borderId="22" xfId="0" applyNumberFormat="1" applyFont="1" applyFill="1" applyBorder="1" applyAlignment="1">
      <alignment horizontal="center" vertical="center"/>
    </xf>
    <xf numFmtId="6" fontId="10" fillId="6" borderId="30" xfId="0" applyNumberFormat="1" applyFont="1" applyFill="1" applyBorder="1" applyAlignment="1">
      <alignment horizontal="center" vertical="center"/>
    </xf>
    <xf numFmtId="0" fontId="10" fillId="0" borderId="32" xfId="0" applyFont="1" applyBorder="1" applyAlignment="1">
      <alignment horizontal="left" vertical="center"/>
    </xf>
    <xf numFmtId="0" fontId="10" fillId="0" borderId="18" xfId="0" applyFont="1" applyBorder="1" applyAlignment="1">
      <alignment horizontal="left" vertical="center"/>
    </xf>
    <xf numFmtId="0" fontId="10" fillId="6" borderId="10" xfId="0" applyFont="1" applyFill="1" applyBorder="1" applyAlignment="1">
      <alignment horizontal="center" vertical="center"/>
    </xf>
    <xf numFmtId="0" fontId="10" fillId="6" borderId="9" xfId="0" applyFont="1" applyFill="1" applyBorder="1" applyAlignment="1">
      <alignment horizontal="center" vertical="center"/>
    </xf>
    <xf numFmtId="0" fontId="10" fillId="6" borderId="19" xfId="0" applyFont="1" applyFill="1" applyBorder="1" applyAlignment="1">
      <alignment horizontal="center" vertical="center"/>
    </xf>
    <xf numFmtId="0" fontId="10" fillId="2" borderId="34" xfId="0" applyFont="1" applyFill="1" applyBorder="1" applyAlignment="1">
      <alignment horizontal="left"/>
    </xf>
    <xf numFmtId="0" fontId="10" fillId="2" borderId="17" xfId="0" applyFont="1" applyFill="1" applyBorder="1" applyAlignment="1">
      <alignment horizontal="left"/>
    </xf>
    <xf numFmtId="0" fontId="10" fillId="6" borderId="17" xfId="0" applyFont="1" applyFill="1" applyBorder="1" applyAlignment="1">
      <alignment horizontal="center" vertical="center"/>
    </xf>
    <xf numFmtId="0" fontId="10" fillId="6" borderId="25" xfId="0" applyFont="1" applyFill="1" applyBorder="1" applyAlignment="1">
      <alignment horizontal="center" vertical="center"/>
    </xf>
    <xf numFmtId="165" fontId="0" fillId="6" borderId="10" xfId="1" applyNumberFormat="1" applyFont="1" applyFill="1" applyBorder="1" applyAlignment="1">
      <alignment horizontal="center" vertical="center"/>
    </xf>
    <xf numFmtId="165" fontId="0" fillId="6" borderId="19" xfId="1" applyNumberFormat="1" applyFont="1" applyFill="1" applyBorder="1" applyAlignment="1">
      <alignment horizontal="center" vertical="center"/>
    </xf>
    <xf numFmtId="0" fontId="19" fillId="0" borderId="18" xfId="0" applyFont="1" applyBorder="1" applyAlignment="1">
      <alignment horizontal="center"/>
    </xf>
    <xf numFmtId="0" fontId="10" fillId="2" borderId="37" xfId="0" applyFont="1" applyFill="1" applyBorder="1" applyAlignment="1">
      <alignment horizontal="center"/>
    </xf>
    <xf numFmtId="0" fontId="18" fillId="3" borderId="18" xfId="0" applyFont="1" applyFill="1" applyBorder="1" applyAlignment="1" applyProtection="1">
      <alignment horizontal="left"/>
      <protection locked="0"/>
    </xf>
    <xf numFmtId="0" fontId="18" fillId="3" borderId="9" xfId="0" applyFont="1" applyFill="1" applyBorder="1" applyAlignment="1" applyProtection="1">
      <alignment horizontal="left"/>
      <protection locked="0"/>
    </xf>
    <xf numFmtId="0" fontId="18" fillId="3" borderId="8" xfId="0" applyFont="1" applyFill="1" applyBorder="1" applyAlignment="1" applyProtection="1">
      <alignment horizontal="left"/>
      <protection locked="0"/>
    </xf>
    <xf numFmtId="0" fontId="22" fillId="0" borderId="9" xfId="0" applyFont="1" applyBorder="1" applyAlignment="1">
      <alignment horizontal="left"/>
    </xf>
    <xf numFmtId="0" fontId="22" fillId="0" borderId="8" xfId="0" applyFont="1" applyBorder="1" applyAlignment="1">
      <alignment horizontal="left"/>
    </xf>
    <xf numFmtId="0" fontId="10" fillId="0" borderId="0" xfId="0" applyFont="1" applyAlignment="1">
      <alignment horizontal="right"/>
    </xf>
    <xf numFmtId="8" fontId="10" fillId="3" borderId="10" xfId="2" applyNumberFormat="1" applyFont="1" applyFill="1" applyBorder="1" applyAlignment="1" applyProtection="1">
      <alignment horizontal="center"/>
      <protection locked="0"/>
    </xf>
    <xf numFmtId="8" fontId="10" fillId="3" borderId="8" xfId="2" applyNumberFormat="1" applyFont="1" applyFill="1" applyBorder="1" applyAlignment="1" applyProtection="1">
      <alignment horizontal="center"/>
      <protection locked="0"/>
    </xf>
    <xf numFmtId="0" fontId="10" fillId="0" borderId="0" xfId="0" applyFont="1" applyAlignment="1">
      <alignment horizontal="center"/>
    </xf>
    <xf numFmtId="0" fontId="16" fillId="2" borderId="37" xfId="0" applyFont="1" applyFill="1" applyBorder="1" applyAlignment="1">
      <alignment horizontal="left" vertical="top"/>
    </xf>
    <xf numFmtId="0" fontId="16" fillId="2" borderId="0" xfId="0" applyFont="1" applyFill="1" applyAlignment="1">
      <alignment horizontal="left" vertical="top"/>
    </xf>
    <xf numFmtId="0" fontId="18" fillId="3" borderId="10" xfId="0" applyFont="1" applyFill="1" applyBorder="1" applyAlignment="1" applyProtection="1">
      <alignment horizontal="center"/>
      <protection locked="0"/>
    </xf>
    <xf numFmtId="0" fontId="18" fillId="3" borderId="9" xfId="0" applyFont="1" applyFill="1" applyBorder="1" applyAlignment="1" applyProtection="1">
      <alignment horizontal="center"/>
      <protection locked="0"/>
    </xf>
    <xf numFmtId="0" fontId="18" fillId="3" borderId="19" xfId="0" applyFont="1" applyFill="1" applyBorder="1" applyAlignment="1" applyProtection="1">
      <alignment horizontal="center"/>
      <protection locked="0"/>
    </xf>
    <xf numFmtId="0" fontId="19" fillId="2" borderId="37" xfId="0" applyFont="1" applyFill="1" applyBorder="1" applyAlignment="1">
      <alignment horizontal="center"/>
    </xf>
    <xf numFmtId="0" fontId="19" fillId="2" borderId="0" xfId="0" applyFont="1" applyFill="1" applyAlignment="1">
      <alignment horizontal="center"/>
    </xf>
    <xf numFmtId="14" fontId="10" fillId="3" borderId="10" xfId="0" applyNumberFormat="1" applyFont="1" applyFill="1" applyBorder="1" applyAlignment="1" applyProtection="1">
      <alignment horizontal="center"/>
      <protection locked="0"/>
    </xf>
    <xf numFmtId="14" fontId="10" fillId="3" borderId="8" xfId="0" applyNumberFormat="1" applyFont="1" applyFill="1" applyBorder="1" applyAlignment="1" applyProtection="1">
      <alignment horizontal="center"/>
      <protection locked="0"/>
    </xf>
    <xf numFmtId="0" fontId="10" fillId="6" borderId="17" xfId="1" applyNumberFormat="1" applyFont="1" applyFill="1" applyBorder="1" applyAlignment="1">
      <alignment horizontal="center" vertical="center"/>
    </xf>
    <xf numFmtId="0" fontId="10" fillId="6" borderId="25" xfId="1" applyNumberFormat="1" applyFont="1" applyFill="1" applyBorder="1" applyAlignment="1">
      <alignment horizontal="center" vertical="center"/>
    </xf>
    <xf numFmtId="0" fontId="10" fillId="0" borderId="35" xfId="0" applyFont="1" applyBorder="1" applyAlignment="1">
      <alignment horizontal="left" vertical="center" wrapText="1"/>
    </xf>
    <xf numFmtId="0" fontId="10" fillId="0" borderId="17" xfId="0" applyFont="1" applyBorder="1" applyAlignment="1">
      <alignment horizontal="left" vertical="center" wrapText="1"/>
    </xf>
    <xf numFmtId="0" fontId="17" fillId="3" borderId="10" xfId="0" applyFont="1" applyFill="1" applyBorder="1" applyAlignment="1" applyProtection="1">
      <alignment horizontal="center" vertical="top" wrapText="1"/>
      <protection locked="0"/>
    </xf>
    <xf numFmtId="0" fontId="17" fillId="3" borderId="9" xfId="0" applyFont="1" applyFill="1" applyBorder="1" applyAlignment="1" applyProtection="1">
      <alignment horizontal="center" vertical="top" wrapText="1"/>
      <protection locked="0"/>
    </xf>
    <xf numFmtId="0" fontId="17" fillId="3" borderId="19" xfId="0" applyFont="1" applyFill="1" applyBorder="1" applyAlignment="1" applyProtection="1">
      <alignment horizontal="center" vertical="top" wrapText="1"/>
      <protection locked="0"/>
    </xf>
    <xf numFmtId="14" fontId="0" fillId="3" borderId="10" xfId="0" applyNumberFormat="1" applyFill="1" applyBorder="1" applyAlignment="1" applyProtection="1">
      <alignment horizontal="center"/>
      <protection locked="0"/>
    </xf>
    <xf numFmtId="43" fontId="15" fillId="6" borderId="18" xfId="1" applyFont="1" applyFill="1" applyBorder="1" applyAlignment="1">
      <alignment horizontal="center" vertical="center" wrapText="1"/>
    </xf>
    <xf numFmtId="43" fontId="15" fillId="6" borderId="24" xfId="1" applyFont="1" applyFill="1" applyBorder="1" applyAlignment="1">
      <alignment horizontal="center" vertical="center" wrapText="1"/>
    </xf>
    <xf numFmtId="43" fontId="10" fillId="3" borderId="25" xfId="1" applyFont="1" applyFill="1" applyBorder="1" applyAlignment="1" applyProtection="1">
      <alignment horizontal="center" vertical="center"/>
      <protection locked="0"/>
    </xf>
    <xf numFmtId="0" fontId="33" fillId="2" borderId="37" xfId="0" applyFont="1" applyFill="1" applyBorder="1" applyAlignment="1">
      <alignment horizontal="center"/>
    </xf>
    <xf numFmtId="0" fontId="33" fillId="2" borderId="0" xfId="0" applyFont="1" applyFill="1" applyAlignment="1">
      <alignment horizontal="center"/>
    </xf>
    <xf numFmtId="0" fontId="0" fillId="2" borderId="32" xfId="0" applyFill="1" applyBorder="1" applyAlignment="1">
      <alignment horizontal="left" wrapText="1"/>
    </xf>
    <xf numFmtId="43" fontId="15" fillId="3" borderId="18" xfId="1" applyFont="1" applyFill="1" applyBorder="1" applyAlignment="1" applyProtection="1">
      <alignment horizontal="left" vertical="center" wrapText="1"/>
      <protection locked="0"/>
    </xf>
    <xf numFmtId="43" fontId="15" fillId="3" borderId="24" xfId="1" applyFont="1" applyFill="1" applyBorder="1" applyAlignment="1" applyProtection="1">
      <alignment horizontal="left" vertical="center" wrapText="1"/>
      <protection locked="0"/>
    </xf>
    <xf numFmtId="43" fontId="10" fillId="3" borderId="22" xfId="1" applyFont="1" applyFill="1" applyBorder="1" applyAlignment="1" applyProtection="1">
      <alignment horizontal="center" vertical="center"/>
      <protection locked="0"/>
    </xf>
    <xf numFmtId="43" fontId="10" fillId="3" borderId="30" xfId="1" applyFont="1" applyFill="1" applyBorder="1" applyAlignment="1" applyProtection="1">
      <alignment horizontal="center" vertical="center"/>
      <protection locked="0"/>
    </xf>
    <xf numFmtId="43" fontId="0" fillId="6" borderId="20" xfId="1" applyFont="1" applyFill="1" applyBorder="1" applyAlignment="1">
      <alignment horizontal="center" vertical="center"/>
    </xf>
    <xf numFmtId="43" fontId="0" fillId="6" borderId="16" xfId="1" applyFont="1" applyFill="1" applyBorder="1" applyAlignment="1">
      <alignment horizontal="center" vertical="center"/>
    </xf>
    <xf numFmtId="43" fontId="0" fillId="6" borderId="15" xfId="1" applyFont="1" applyFill="1" applyBorder="1" applyAlignment="1">
      <alignment horizontal="center" vertical="center"/>
    </xf>
    <xf numFmtId="0" fontId="0" fillId="6" borderId="13" xfId="0" applyFill="1" applyBorder="1" applyAlignment="1">
      <alignment horizontal="center" wrapText="1"/>
    </xf>
    <xf numFmtId="0" fontId="10" fillId="6" borderId="12" xfId="0" applyFont="1" applyFill="1" applyBorder="1" applyAlignment="1">
      <alignment horizontal="center" wrapText="1"/>
    </xf>
    <xf numFmtId="0" fontId="10" fillId="6" borderId="11" xfId="0" applyFont="1" applyFill="1" applyBorder="1" applyAlignment="1">
      <alignment horizontal="center" wrapText="1"/>
    </xf>
    <xf numFmtId="0" fontId="19" fillId="0" borderId="24" xfId="0" applyFont="1" applyBorder="1" applyAlignment="1">
      <alignment horizontal="center"/>
    </xf>
    <xf numFmtId="164" fontId="21" fillId="3" borderId="18" xfId="2" applyNumberFormat="1" applyFont="1" applyFill="1" applyBorder="1" applyAlignment="1" applyProtection="1">
      <alignment horizontal="left"/>
      <protection locked="0"/>
    </xf>
    <xf numFmtId="164" fontId="21" fillId="3" borderId="24" xfId="2" applyNumberFormat="1" applyFont="1" applyFill="1" applyBorder="1" applyAlignment="1" applyProtection="1">
      <alignment horizontal="left"/>
      <protection locked="0"/>
    </xf>
    <xf numFmtId="164" fontId="21" fillId="3" borderId="18" xfId="2" applyNumberFormat="1" applyFont="1" applyFill="1" applyBorder="1" applyAlignment="1" applyProtection="1">
      <alignment horizontal="center"/>
      <protection locked="0"/>
    </xf>
    <xf numFmtId="164" fontId="21" fillId="3" borderId="24" xfId="2" applyNumberFormat="1" applyFont="1" applyFill="1" applyBorder="1" applyAlignment="1" applyProtection="1">
      <alignment horizontal="center"/>
      <protection locked="0"/>
    </xf>
    <xf numFmtId="0" fontId="18" fillId="3" borderId="20" xfId="0" applyFont="1" applyFill="1" applyBorder="1" applyAlignment="1" applyProtection="1">
      <alignment horizontal="center"/>
      <protection locked="0"/>
    </xf>
    <xf numFmtId="0" fontId="18" fillId="3" borderId="16" xfId="0" applyFont="1" applyFill="1" applyBorder="1" applyAlignment="1" applyProtection="1">
      <alignment horizontal="center"/>
      <protection locked="0"/>
    </xf>
    <xf numFmtId="0" fontId="18" fillId="3" borderId="15" xfId="0" applyFont="1" applyFill="1" applyBorder="1" applyAlignment="1" applyProtection="1">
      <alignment horizontal="center"/>
      <protection locked="0"/>
    </xf>
    <xf numFmtId="0" fontId="16" fillId="2" borderId="36" xfId="0" applyFont="1" applyFill="1" applyBorder="1" applyAlignment="1">
      <alignment horizontal="right" vertical="top" wrapText="1"/>
    </xf>
    <xf numFmtId="0" fontId="16" fillId="2" borderId="6" xfId="0" applyFont="1" applyFill="1" applyBorder="1" applyAlignment="1">
      <alignment horizontal="right" vertical="top" wrapText="1"/>
    </xf>
    <xf numFmtId="0" fontId="0" fillId="0" borderId="17" xfId="0" applyBorder="1" applyAlignment="1">
      <alignment horizontal="left"/>
    </xf>
    <xf numFmtId="0" fontId="13" fillId="2" borderId="33" xfId="0" applyFont="1" applyFill="1" applyBorder="1" applyAlignment="1">
      <alignment horizontal="center"/>
    </xf>
    <xf numFmtId="0" fontId="10" fillId="6" borderId="22" xfId="0" applyFont="1" applyFill="1" applyBorder="1" applyAlignment="1">
      <alignment horizontal="center" vertical="center"/>
    </xf>
    <xf numFmtId="164" fontId="10" fillId="3" borderId="18" xfId="2" applyNumberFormat="1" applyFont="1" applyFill="1" applyBorder="1" applyAlignment="1" applyProtection="1">
      <alignment horizontal="center"/>
      <protection locked="0"/>
    </xf>
    <xf numFmtId="164" fontId="10" fillId="3" borderId="24" xfId="2" applyNumberFormat="1" applyFont="1" applyFill="1" applyBorder="1" applyAlignment="1" applyProtection="1">
      <alignment horizontal="center"/>
      <protection locked="0"/>
    </xf>
    <xf numFmtId="0" fontId="10" fillId="0" borderId="32" xfId="0" applyFont="1" applyBorder="1" applyAlignment="1">
      <alignment horizontal="left"/>
    </xf>
    <xf numFmtId="0" fontId="16" fillId="2" borderId="0" xfId="0" applyFont="1" applyFill="1" applyAlignment="1">
      <alignment horizontal="left"/>
    </xf>
    <xf numFmtId="0" fontId="16" fillId="2" borderId="3" xfId="0" applyFont="1" applyFill="1" applyBorder="1" applyAlignment="1">
      <alignment horizontal="left"/>
    </xf>
    <xf numFmtId="0" fontId="16" fillId="3" borderId="10" xfId="0" applyFont="1" applyFill="1" applyBorder="1" applyAlignment="1" applyProtection="1">
      <alignment horizontal="center"/>
      <protection locked="0"/>
    </xf>
    <xf numFmtId="0" fontId="16" fillId="3" borderId="8" xfId="0" applyFont="1" applyFill="1" applyBorder="1" applyAlignment="1" applyProtection="1">
      <alignment horizontal="center"/>
      <protection locked="0"/>
    </xf>
    <xf numFmtId="0" fontId="0" fillId="2" borderId="34" xfId="0" applyFill="1" applyBorder="1" applyAlignment="1">
      <alignment horizontal="left" wrapText="1"/>
    </xf>
    <xf numFmtId="43" fontId="10" fillId="6" borderId="13" xfId="1" applyFont="1" applyFill="1" applyBorder="1" applyAlignment="1">
      <alignment horizontal="center" vertical="center"/>
    </xf>
    <xf numFmtId="43" fontId="10" fillId="6" borderId="12" xfId="1" applyFont="1" applyFill="1" applyBorder="1" applyAlignment="1">
      <alignment horizontal="center" vertical="center"/>
    </xf>
    <xf numFmtId="43" fontId="10" fillId="6" borderId="11" xfId="1" applyFont="1" applyFill="1" applyBorder="1" applyAlignment="1">
      <alignment horizontal="center" vertical="center"/>
    </xf>
    <xf numFmtId="0" fontId="10" fillId="6" borderId="18" xfId="0" applyFont="1" applyFill="1" applyBorder="1" applyAlignment="1">
      <alignment horizontal="center" vertical="center"/>
    </xf>
    <xf numFmtId="0" fontId="22" fillId="0" borderId="18" xfId="0" applyFont="1" applyBorder="1" applyAlignment="1">
      <alignment horizontal="left"/>
    </xf>
    <xf numFmtId="165" fontId="0" fillId="6" borderId="18" xfId="1" applyNumberFormat="1" applyFont="1" applyFill="1" applyBorder="1" applyAlignment="1">
      <alignment horizontal="center" vertical="center"/>
    </xf>
    <xf numFmtId="165" fontId="0" fillId="6" borderId="24" xfId="1" applyNumberFormat="1" applyFont="1" applyFill="1" applyBorder="1" applyAlignment="1">
      <alignment horizontal="center" vertical="center"/>
    </xf>
    <xf numFmtId="0" fontId="10" fillId="2" borderId="32" xfId="0" applyFont="1" applyFill="1" applyBorder="1" applyAlignment="1">
      <alignment horizontal="left" wrapText="1"/>
    </xf>
    <xf numFmtId="43" fontId="15" fillId="6" borderId="18" xfId="1" applyFont="1" applyFill="1" applyBorder="1" applyAlignment="1">
      <alignment horizontal="center" vertical="center"/>
    </xf>
    <xf numFmtId="43" fontId="10" fillId="3" borderId="10" xfId="1" applyFont="1" applyFill="1" applyBorder="1" applyAlignment="1" applyProtection="1">
      <alignment horizontal="center" vertical="center"/>
      <protection locked="0"/>
    </xf>
    <xf numFmtId="43" fontId="10" fillId="3" borderId="9" xfId="1" applyFont="1" applyFill="1" applyBorder="1" applyAlignment="1" applyProtection="1">
      <alignment horizontal="center" vertical="center"/>
      <protection locked="0"/>
    </xf>
    <xf numFmtId="43" fontId="10" fillId="3" borderId="19" xfId="1" applyFont="1" applyFill="1" applyBorder="1" applyAlignment="1" applyProtection="1">
      <alignment horizontal="center" vertical="center"/>
      <protection locked="0"/>
    </xf>
    <xf numFmtId="43" fontId="10" fillId="6" borderId="10" xfId="1" applyFont="1" applyFill="1" applyBorder="1" applyAlignment="1">
      <alignment horizontal="center" vertical="center"/>
    </xf>
    <xf numFmtId="43" fontId="10" fillId="6" borderId="9" xfId="1" applyFont="1" applyFill="1" applyBorder="1" applyAlignment="1">
      <alignment horizontal="center" vertical="center"/>
    </xf>
    <xf numFmtId="43" fontId="10" fillId="6" borderId="19" xfId="1" applyFont="1" applyFill="1" applyBorder="1" applyAlignment="1">
      <alignment horizontal="center" vertical="center"/>
    </xf>
    <xf numFmtId="0" fontId="0" fillId="0" borderId="34" xfId="0" applyBorder="1" applyAlignment="1">
      <alignment horizontal="left" wrapText="1"/>
    </xf>
    <xf numFmtId="0" fontId="10" fillId="0" borderId="17" xfId="0" applyFont="1" applyBorder="1" applyAlignment="1">
      <alignment horizontal="left" wrapText="1"/>
    </xf>
    <xf numFmtId="0" fontId="0" fillId="10" borderId="26" xfId="0" applyFill="1" applyBorder="1" applyAlignment="1">
      <alignment horizontal="left" vertical="top" wrapText="1"/>
    </xf>
    <xf numFmtId="0" fontId="0" fillId="10" borderId="7" xfId="0" applyFill="1" applyBorder="1" applyAlignment="1">
      <alignment horizontal="left" vertical="top" wrapText="1"/>
    </xf>
    <xf numFmtId="0" fontId="0" fillId="10" borderId="27" xfId="0" applyFill="1" applyBorder="1" applyAlignment="1">
      <alignment horizontal="left" vertical="top" wrapText="1"/>
    </xf>
    <xf numFmtId="0" fontId="0" fillId="10" borderId="23" xfId="0" applyFill="1" applyBorder="1" applyAlignment="1">
      <alignment horizontal="left" vertical="top" wrapText="1"/>
    </xf>
    <xf numFmtId="0" fontId="0" fillId="10" borderId="0" xfId="0" applyFill="1" applyAlignment="1">
      <alignment horizontal="left" vertical="top" wrapText="1"/>
    </xf>
    <xf numFmtId="0" fontId="0" fillId="10" borderId="33" xfId="0" applyFill="1" applyBorder="1" applyAlignment="1">
      <alignment horizontal="left" vertical="top" wrapText="1"/>
    </xf>
    <xf numFmtId="0" fontId="0" fillId="10" borderId="28" xfId="0" applyFill="1" applyBorder="1" applyAlignment="1">
      <alignment horizontal="left" vertical="top" wrapText="1"/>
    </xf>
    <xf numFmtId="0" fontId="0" fillId="10" borderId="4" xfId="0" applyFill="1" applyBorder="1" applyAlignment="1">
      <alignment horizontal="left" vertical="top" wrapText="1"/>
    </xf>
    <xf numFmtId="0" fontId="0" fillId="10" borderId="29" xfId="0" applyFill="1" applyBorder="1" applyAlignment="1">
      <alignment horizontal="left" vertical="top" wrapText="1"/>
    </xf>
    <xf numFmtId="0" fontId="48" fillId="10" borderId="26" xfId="0" applyFont="1" applyFill="1" applyBorder="1" applyAlignment="1">
      <alignment horizontal="left" vertical="top" wrapText="1"/>
    </xf>
    <xf numFmtId="0" fontId="48" fillId="10" borderId="7" xfId="0" applyFont="1" applyFill="1" applyBorder="1" applyAlignment="1">
      <alignment horizontal="left" vertical="top" wrapText="1"/>
    </xf>
    <xf numFmtId="0" fontId="48" fillId="10" borderId="27" xfId="0" applyFont="1" applyFill="1" applyBorder="1" applyAlignment="1">
      <alignment horizontal="left" vertical="top" wrapText="1"/>
    </xf>
    <xf numFmtId="0" fontId="48" fillId="10" borderId="23" xfId="0" applyFont="1" applyFill="1" applyBorder="1" applyAlignment="1">
      <alignment horizontal="left" vertical="top" wrapText="1"/>
    </xf>
    <xf numFmtId="0" fontId="48" fillId="10" borderId="0" xfId="0" applyFont="1" applyFill="1" applyAlignment="1">
      <alignment horizontal="left" vertical="top" wrapText="1"/>
    </xf>
    <xf numFmtId="0" fontId="48" fillId="10" borderId="33" xfId="0" applyFont="1" applyFill="1" applyBorder="1" applyAlignment="1">
      <alignment horizontal="left" vertical="top" wrapText="1"/>
    </xf>
    <xf numFmtId="0" fontId="0" fillId="0" borderId="48" xfId="0" applyBorder="1" applyAlignment="1">
      <alignment horizontal="left" vertical="top"/>
    </xf>
    <xf numFmtId="0" fontId="0" fillId="0" borderId="44" xfId="0" applyBorder="1" applyAlignment="1">
      <alignment horizontal="left" vertical="top"/>
    </xf>
    <xf numFmtId="0" fontId="0" fillId="0" borderId="49" xfId="0" applyBorder="1" applyAlignment="1">
      <alignment horizontal="left" vertical="top"/>
    </xf>
    <xf numFmtId="0" fontId="20" fillId="11" borderId="18" xfId="0" applyFont="1" applyFill="1" applyBorder="1" applyAlignment="1">
      <alignment horizontal="center" vertical="center" wrapText="1"/>
    </xf>
    <xf numFmtId="0" fontId="0" fillId="0" borderId="18" xfId="0" applyBorder="1" applyAlignment="1">
      <alignment horizontal="left" wrapText="1"/>
    </xf>
    <xf numFmtId="0" fontId="0" fillId="0" borderId="18" xfId="0" applyBorder="1" applyAlignment="1">
      <alignment horizontal="left"/>
    </xf>
    <xf numFmtId="0" fontId="0" fillId="0" borderId="18" xfId="0" applyBorder="1" applyAlignment="1">
      <alignment horizontal="left" vertical="top" wrapText="1"/>
    </xf>
    <xf numFmtId="0" fontId="4" fillId="0" borderId="18" xfId="0" applyFont="1" applyBorder="1" applyAlignment="1">
      <alignment horizontal="left" vertical="top" wrapText="1"/>
    </xf>
    <xf numFmtId="0" fontId="0" fillId="0" borderId="48" xfId="0" applyBorder="1" applyAlignment="1">
      <alignment horizontal="left" vertical="top" wrapText="1"/>
    </xf>
    <xf numFmtId="0" fontId="0" fillId="0" borderId="49" xfId="0" applyBorder="1" applyAlignment="1">
      <alignment horizontal="left" vertical="top" wrapText="1"/>
    </xf>
    <xf numFmtId="0" fontId="4" fillId="0" borderId="18" xfId="0" applyFont="1" applyBorder="1" applyAlignment="1">
      <alignment horizontal="center"/>
    </xf>
    <xf numFmtId="0" fontId="0" fillId="3" borderId="18" xfId="0" applyFill="1" applyBorder="1" applyAlignment="1">
      <alignment horizontal="left"/>
    </xf>
    <xf numFmtId="0" fontId="0" fillId="12" borderId="52" xfId="0" applyFill="1" applyBorder="1" applyAlignment="1">
      <alignment horizontal="center" textRotation="45"/>
    </xf>
    <xf numFmtId="0" fontId="0" fillId="12" borderId="57" xfId="0" applyFill="1" applyBorder="1" applyAlignment="1">
      <alignment horizontal="center" textRotation="45"/>
    </xf>
    <xf numFmtId="0" fontId="0" fillId="12" borderId="50" xfId="0" applyFill="1" applyBorder="1" applyAlignment="1">
      <alignment horizontal="center" textRotation="45"/>
    </xf>
    <xf numFmtId="0" fontId="0" fillId="12" borderId="10" xfId="0" applyFill="1" applyBorder="1" applyAlignment="1">
      <alignment horizontal="left"/>
    </xf>
    <xf numFmtId="0" fontId="0" fillId="12" borderId="8" xfId="0" applyFill="1" applyBorder="1" applyAlignment="1">
      <alignment horizontal="left"/>
    </xf>
    <xf numFmtId="0" fontId="0" fillId="3" borderId="52" xfId="0" applyFill="1" applyBorder="1" applyAlignment="1">
      <alignment horizontal="center" textRotation="45"/>
    </xf>
    <xf numFmtId="0" fontId="0" fillId="3" borderId="57" xfId="0" applyFill="1" applyBorder="1" applyAlignment="1">
      <alignment horizontal="center" textRotation="45"/>
    </xf>
    <xf numFmtId="0" fontId="0" fillId="3" borderId="50" xfId="0" applyFill="1" applyBorder="1" applyAlignment="1">
      <alignment horizontal="center" textRotation="45"/>
    </xf>
    <xf numFmtId="0" fontId="4" fillId="8" borderId="0" xfId="0" applyFont="1" applyFill="1" applyAlignment="1">
      <alignment horizontal="center"/>
    </xf>
    <xf numFmtId="0" fontId="4" fillId="10" borderId="18" xfId="0" applyFont="1" applyFill="1" applyBorder="1" applyAlignment="1">
      <alignment horizontal="center"/>
    </xf>
    <xf numFmtId="0" fontId="4" fillId="0" borderId="0" xfId="0" applyFont="1" applyAlignment="1">
      <alignment horizontal="center"/>
    </xf>
    <xf numFmtId="0" fontId="0" fillId="3" borderId="9" xfId="0" applyFont="1" applyFill="1" applyBorder="1" applyAlignment="1">
      <alignment horizontal="left"/>
    </xf>
  </cellXfs>
  <cellStyles count="5">
    <cellStyle name="Comma" xfId="1" builtinId="3"/>
    <cellStyle name="Currency" xfId="2" builtinId="4"/>
    <cellStyle name="Hyperlink" xfId="4" builtinId="8"/>
    <cellStyle name="Normal" xfId="0" builtinId="0"/>
    <cellStyle name="Percent" xfId="3" builtinId="5"/>
  </cellStyles>
  <dxfs count="128">
    <dxf>
      <font>
        <b/>
        <i val="0"/>
        <color rgb="FFFF0000"/>
      </font>
      <numFmt numFmtId="2" formatCode="0.00"/>
    </dxf>
    <dxf>
      <font>
        <color theme="0"/>
      </font>
      <fill>
        <patternFill>
          <bgColor theme="0"/>
        </patternFill>
      </fill>
      <border>
        <vertical/>
        <horizontal/>
      </border>
    </dxf>
    <dxf>
      <font>
        <b/>
        <i val="0"/>
        <color rgb="FFFF0000"/>
      </font>
      <border>
        <vertical/>
        <horizontal/>
      </border>
    </dxf>
    <dxf>
      <font>
        <color theme="0"/>
      </font>
      <fill>
        <patternFill>
          <bgColor theme="0"/>
        </patternFill>
      </fill>
      <border>
        <vertical/>
        <horizontal/>
      </border>
    </dxf>
    <dxf>
      <font>
        <b/>
        <i val="0"/>
        <color rgb="FFFF0000"/>
      </font>
      <fill>
        <patternFill>
          <bgColor theme="0"/>
        </patternFill>
      </fill>
      <border>
        <vertical/>
        <horizontal/>
      </border>
    </dxf>
    <dxf>
      <font>
        <b/>
        <i val="0"/>
        <color rgb="FFFF0000"/>
      </font>
      <fill>
        <patternFill>
          <bgColor theme="0"/>
        </patternFill>
      </fill>
      <border>
        <vertical/>
        <horizontal/>
      </border>
    </dxf>
    <dxf>
      <font>
        <b/>
        <i val="0"/>
        <color rgb="FFFF0000"/>
      </font>
      <numFmt numFmtId="2" formatCode="0.00"/>
    </dxf>
    <dxf>
      <font>
        <color theme="0"/>
      </font>
      <fill>
        <patternFill>
          <bgColor theme="0"/>
        </patternFill>
      </fill>
      <border>
        <vertical/>
        <horizontal/>
      </border>
    </dxf>
    <dxf>
      <font>
        <b/>
        <i val="0"/>
        <color rgb="FFFF0000"/>
      </font>
      <border>
        <vertical/>
        <horizontal/>
      </border>
    </dxf>
    <dxf>
      <font>
        <color theme="0"/>
      </font>
      <fill>
        <patternFill>
          <bgColor theme="0"/>
        </patternFill>
      </fill>
      <border>
        <vertical/>
        <horizontal/>
      </border>
    </dxf>
    <dxf>
      <font>
        <color theme="0"/>
      </font>
      <fill>
        <patternFill>
          <bgColor theme="0"/>
        </patternFill>
      </fill>
      <border>
        <vertical/>
        <horizontal/>
      </border>
    </dxf>
    <dxf>
      <font>
        <b/>
        <i val="0"/>
        <color rgb="FFFF0000"/>
      </font>
      <border>
        <vertical/>
        <horizontal/>
      </border>
    </dxf>
    <dxf>
      <font>
        <color theme="0"/>
      </font>
      <fill>
        <patternFill>
          <bgColor theme="0"/>
        </patternFill>
      </fill>
      <border>
        <vertical/>
        <horizontal/>
      </border>
    </dxf>
    <dxf>
      <font>
        <b/>
        <i val="0"/>
        <color rgb="FFFF0000"/>
      </font>
      <numFmt numFmtId="2" formatCode="0.00"/>
    </dxf>
    <dxf>
      <font>
        <b/>
        <i val="0"/>
        <color rgb="FFFF0000"/>
      </font>
      <fill>
        <patternFill>
          <bgColor theme="0"/>
        </patternFill>
      </fill>
      <border>
        <vertical/>
        <horizontal/>
      </border>
    </dxf>
    <dxf>
      <font>
        <b/>
        <i val="0"/>
        <color rgb="FFFF0000"/>
      </font>
      <fill>
        <patternFill>
          <bgColor theme="0"/>
        </patternFill>
      </fill>
      <border>
        <vertical/>
        <horizontal/>
      </border>
    </dxf>
    <dxf>
      <font>
        <color theme="0"/>
      </font>
      <fill>
        <patternFill>
          <bgColor theme="0"/>
        </patternFill>
      </fill>
      <border>
        <vertical/>
        <horizontal/>
      </border>
    </dxf>
    <dxf>
      <font>
        <b/>
        <i val="0"/>
        <color rgb="FFFF0000"/>
      </font>
      <border>
        <vertical/>
        <horizontal/>
      </border>
    </dxf>
    <dxf>
      <font>
        <color theme="0"/>
      </font>
      <fill>
        <patternFill>
          <bgColor theme="0"/>
        </patternFill>
      </fill>
      <border>
        <vertical/>
        <horizontal/>
      </border>
    </dxf>
    <dxf>
      <font>
        <b/>
        <i val="0"/>
        <color rgb="FFFF0000"/>
      </font>
      <numFmt numFmtId="2" formatCode="0.00"/>
    </dxf>
    <dxf>
      <font>
        <b/>
        <i val="0"/>
        <color rgb="FFFF0000"/>
      </font>
      <numFmt numFmtId="2" formatCode="0.00"/>
    </dxf>
    <dxf>
      <font>
        <color theme="0"/>
      </font>
      <fill>
        <patternFill>
          <bgColor theme="0"/>
        </patternFill>
      </fill>
      <border>
        <vertical/>
        <horizontal/>
      </border>
    </dxf>
    <dxf>
      <font>
        <b/>
        <i val="0"/>
        <color rgb="FFFF0000"/>
      </font>
      <border>
        <vertical/>
        <horizontal/>
      </border>
    </dxf>
    <dxf>
      <font>
        <color theme="0"/>
      </font>
      <fill>
        <patternFill>
          <bgColor theme="0"/>
        </patternFill>
      </fill>
      <border>
        <vertical/>
        <horizontal/>
      </border>
    </dxf>
    <dxf>
      <font>
        <b/>
        <i val="0"/>
        <color rgb="FFFF0000"/>
      </font>
      <fill>
        <patternFill>
          <bgColor theme="0"/>
        </patternFill>
      </fill>
      <border>
        <vertical/>
        <horizontal/>
      </border>
    </dxf>
    <dxf>
      <font>
        <b/>
        <i val="0"/>
        <color rgb="FFFF0000"/>
      </font>
      <fill>
        <patternFill>
          <bgColor theme="0"/>
        </patternFill>
      </fill>
      <border>
        <vertical/>
        <horizontal/>
      </border>
    </dxf>
    <dxf>
      <font>
        <color theme="0"/>
      </font>
      <fill>
        <patternFill>
          <bgColor theme="0"/>
        </patternFill>
      </fill>
      <border>
        <vertical/>
        <horizontal/>
      </border>
    </dxf>
    <dxf>
      <font>
        <b/>
        <i val="0"/>
        <color rgb="FFFF0000"/>
      </font>
      <border>
        <vertical/>
        <horizontal/>
      </border>
    </dxf>
    <dxf>
      <font>
        <color theme="0"/>
      </font>
      <fill>
        <patternFill>
          <bgColor theme="0"/>
        </patternFill>
      </fill>
      <border>
        <vertical/>
        <horizontal/>
      </border>
    </dxf>
    <dxf>
      <font>
        <b/>
        <i val="0"/>
        <color rgb="FFFF0000"/>
      </font>
      <numFmt numFmtId="2" formatCode="0.00"/>
    </dxf>
    <dxf>
      <font>
        <b/>
        <i val="0"/>
        <color rgb="FFFF0000"/>
      </font>
      <fill>
        <patternFill>
          <bgColor theme="0"/>
        </patternFill>
      </fill>
      <border>
        <vertical/>
        <horizontal/>
      </border>
    </dxf>
    <dxf>
      <font>
        <color theme="0"/>
      </font>
      <fill>
        <patternFill>
          <bgColor theme="0"/>
        </patternFill>
      </fill>
      <border>
        <vertical/>
        <horizontal/>
      </border>
    </dxf>
    <dxf>
      <font>
        <b/>
        <i val="0"/>
        <color rgb="FFFF0000"/>
      </font>
      <border>
        <vertical/>
        <horizontal/>
      </border>
    </dxf>
    <dxf>
      <font>
        <color theme="0"/>
      </font>
      <fill>
        <patternFill>
          <bgColor theme="0"/>
        </patternFill>
      </fill>
      <border>
        <vertical/>
        <horizontal/>
      </border>
    </dxf>
    <dxf>
      <font>
        <b/>
        <i val="0"/>
        <color rgb="FFFF0000"/>
      </font>
      <numFmt numFmtId="2" formatCode="0.00"/>
    </dxf>
    <dxf>
      <font>
        <b/>
        <i val="0"/>
        <color rgb="FFFF0000"/>
      </font>
      <numFmt numFmtId="2" formatCode="0.00"/>
    </dxf>
    <dxf>
      <font>
        <color theme="0"/>
      </font>
      <fill>
        <patternFill>
          <bgColor theme="0"/>
        </patternFill>
      </fill>
      <border>
        <vertical/>
        <horizontal/>
      </border>
    </dxf>
    <dxf>
      <font>
        <b/>
        <i val="0"/>
        <color rgb="FFFF0000"/>
      </font>
      <border>
        <vertical/>
        <horizontal/>
      </border>
    </dxf>
    <dxf>
      <font>
        <color theme="0"/>
      </font>
      <fill>
        <patternFill>
          <bgColor theme="0"/>
        </patternFill>
      </fill>
      <border>
        <vertical/>
        <horizontal/>
      </border>
    </dxf>
    <dxf>
      <font>
        <b/>
        <i val="0"/>
        <color rgb="FFFF0000"/>
      </font>
      <fill>
        <patternFill>
          <bgColor theme="0"/>
        </patternFill>
      </fill>
      <border>
        <vertical/>
        <horizontal/>
      </border>
    </dxf>
    <dxf>
      <font>
        <color rgb="FF9C0006"/>
      </font>
      <fill>
        <patternFill>
          <bgColor rgb="FFFFC7CE"/>
        </patternFill>
      </fill>
    </dxf>
    <dxf>
      <font>
        <b/>
        <i val="0"/>
        <color rgb="FFFF0000"/>
      </font>
      <numFmt numFmtId="2" formatCode="0.00"/>
    </dxf>
    <dxf>
      <font>
        <color theme="0"/>
      </font>
      <fill>
        <patternFill>
          <bgColor theme="0"/>
        </patternFill>
      </fill>
      <border>
        <vertical/>
        <horizontal/>
      </border>
    </dxf>
    <dxf>
      <font>
        <b/>
        <i val="0"/>
        <color rgb="FFFF0000"/>
      </font>
      <border>
        <vertical/>
        <horizontal/>
      </border>
    </dxf>
    <dxf>
      <font>
        <color theme="0"/>
      </font>
      <fill>
        <patternFill>
          <bgColor theme="0"/>
        </patternFill>
      </fill>
      <border>
        <vertical/>
        <horizontal/>
      </border>
    </dxf>
    <dxf>
      <font>
        <b/>
        <i val="0"/>
        <color rgb="FFFF0000"/>
      </font>
      <fill>
        <patternFill>
          <bgColor theme="0"/>
        </patternFill>
      </fill>
      <border>
        <vertical/>
        <horizontal/>
      </border>
    </dxf>
    <dxf>
      <font>
        <color rgb="FF9C0006"/>
      </font>
      <fill>
        <patternFill>
          <bgColor rgb="FFFFC7CE"/>
        </patternFill>
      </fill>
    </dxf>
    <dxf>
      <font>
        <b/>
        <i val="0"/>
        <color rgb="FFFF0000"/>
      </font>
      <numFmt numFmtId="2" formatCode="0.00"/>
    </dxf>
    <dxf>
      <font>
        <color theme="0"/>
      </font>
      <fill>
        <patternFill>
          <bgColor theme="0"/>
        </patternFill>
      </fill>
      <border>
        <vertical/>
        <horizontal/>
      </border>
    </dxf>
    <dxf>
      <font>
        <b/>
        <i val="0"/>
        <color rgb="FFFF0000"/>
      </font>
      <border>
        <vertical/>
        <horizontal/>
      </border>
    </dxf>
    <dxf>
      <font>
        <color theme="0"/>
      </font>
      <fill>
        <patternFill>
          <bgColor theme="0"/>
        </patternFill>
      </fill>
      <border>
        <vertical/>
        <horizontal/>
      </border>
    </dxf>
    <dxf>
      <font>
        <b/>
        <i val="0"/>
        <color rgb="FFFF0000"/>
      </font>
      <fill>
        <patternFill>
          <bgColor theme="0"/>
        </patternFill>
      </fill>
      <border>
        <vertical/>
        <horizontal/>
      </border>
    </dxf>
    <dxf>
      <font>
        <color rgb="FF9C0006"/>
      </font>
      <fill>
        <patternFill>
          <bgColor rgb="FFFFC7CE"/>
        </patternFill>
      </fill>
    </dxf>
    <dxf>
      <font>
        <color rgb="FF9C0006"/>
      </font>
      <fill>
        <patternFill>
          <bgColor rgb="FFFFC7CE"/>
        </patternFill>
      </fill>
    </dxf>
    <dxf>
      <fill>
        <patternFill patternType="solid">
          <fgColor indexed="64"/>
          <bgColor theme="5" tint="0.79998168889431442"/>
        </patternFill>
      </fill>
    </dxf>
    <dxf>
      <fill>
        <patternFill patternType="solid">
          <fgColor indexed="64"/>
          <bgColor theme="5" tint="0.79998168889431442"/>
        </patternFill>
      </fill>
    </dxf>
    <dxf>
      <font>
        <b/>
        <i val="0"/>
        <strike val="0"/>
        <condense val="0"/>
        <extend val="0"/>
        <outline val="0"/>
        <shadow val="0"/>
        <u val="none"/>
        <vertAlign val="baseline"/>
        <sz val="11"/>
        <color theme="1"/>
        <name val="Calibri"/>
        <family val="2"/>
        <scheme val="minor"/>
      </font>
      <fill>
        <patternFill patternType="solid">
          <fgColor indexed="64"/>
          <bgColor theme="1"/>
        </patternFill>
      </fill>
    </dxf>
    <dxf>
      <fill>
        <patternFill patternType="solid">
          <fgColor indexed="64"/>
          <bgColor theme="5" tint="0.79998168889431442"/>
        </patternFill>
      </fill>
    </dxf>
    <dxf>
      <fill>
        <patternFill patternType="solid">
          <fgColor indexed="64"/>
          <bgColor theme="5" tint="0.79998168889431442"/>
        </patternFill>
      </fill>
    </dxf>
    <dxf>
      <font>
        <b/>
        <i val="0"/>
        <strike val="0"/>
        <condense val="0"/>
        <extend val="0"/>
        <outline val="0"/>
        <shadow val="0"/>
        <u val="none"/>
        <vertAlign val="baseline"/>
        <sz val="11"/>
        <color theme="1"/>
        <name val="Calibri"/>
        <family val="2"/>
        <scheme val="minor"/>
      </font>
      <fill>
        <patternFill patternType="solid">
          <fgColor indexed="64"/>
          <bgColor theme="1"/>
        </patternFill>
      </fill>
    </dxf>
    <dxf>
      <fill>
        <patternFill patternType="solid">
          <fgColor indexed="64"/>
          <bgColor theme="5" tint="0.79998168889431442"/>
        </patternFill>
      </fill>
    </dxf>
    <dxf>
      <fill>
        <patternFill patternType="solid">
          <fgColor indexed="64"/>
          <bgColor theme="5" tint="0.79998168889431442"/>
        </patternFill>
      </fill>
    </dxf>
    <dxf>
      <font>
        <b/>
        <i val="0"/>
        <strike val="0"/>
        <condense val="0"/>
        <extend val="0"/>
        <outline val="0"/>
        <shadow val="0"/>
        <u val="none"/>
        <vertAlign val="baseline"/>
        <sz val="11"/>
        <color theme="1"/>
        <name val="Calibri"/>
        <family val="2"/>
        <scheme val="minor"/>
      </font>
      <fill>
        <patternFill patternType="solid">
          <fgColor indexed="64"/>
          <bgColor theme="1"/>
        </patternFill>
      </fill>
    </dxf>
    <dxf>
      <fill>
        <patternFill patternType="solid">
          <fgColor indexed="64"/>
          <bgColor theme="5" tint="0.79998168889431442"/>
        </patternFill>
      </fill>
    </dxf>
    <dxf>
      <fill>
        <patternFill patternType="solid">
          <fgColor indexed="64"/>
          <bgColor theme="5" tint="0.79998168889431442"/>
        </patternFill>
      </fill>
    </dxf>
    <dxf>
      <font>
        <b/>
        <i val="0"/>
        <strike val="0"/>
        <condense val="0"/>
        <extend val="0"/>
        <outline val="0"/>
        <shadow val="0"/>
        <u val="none"/>
        <vertAlign val="baseline"/>
        <sz val="11"/>
        <color theme="1"/>
        <name val="Calibri"/>
        <family val="2"/>
        <scheme val="minor"/>
      </font>
      <fill>
        <patternFill patternType="solid">
          <fgColor indexed="64"/>
          <bgColor theme="1"/>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ertAlign val="baseline"/>
        <sz val="11"/>
        <color theme="0"/>
        <name val="Calibri"/>
        <family val="2"/>
        <scheme val="minor"/>
      </font>
      <fill>
        <patternFill patternType="solid">
          <fgColor theme="6"/>
          <bgColor theme="6"/>
        </patternFill>
      </fill>
      <alignment horizontal="left" vertical="bottom" textRotation="0" wrapText="0" indent="0" justifyLastLine="0" shrinkToFit="0" readingOrder="0"/>
    </dxf>
    <dxf>
      <font>
        <b/>
        <i val="0"/>
        <strike val="0"/>
        <condense val="0"/>
        <extend val="0"/>
        <outline val="0"/>
        <shadow val="0"/>
        <u/>
        <vertAlign val="baseline"/>
        <sz val="11"/>
        <color theme="0"/>
        <name val="Calibri"/>
        <family val="2"/>
        <scheme val="minor"/>
      </font>
      <fill>
        <patternFill patternType="solid">
          <fgColor theme="6"/>
          <bgColor theme="6"/>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outline="0">
        <top style="thin">
          <color theme="1"/>
        </top>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ertAlign val="baseline"/>
        <sz val="11"/>
        <color theme="0"/>
        <name val="Calibri"/>
        <family val="2"/>
        <scheme val="minor"/>
      </font>
      <fill>
        <patternFill patternType="solid">
          <fgColor theme="1"/>
          <bgColor theme="1"/>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ertAlign val="baseline"/>
        <sz val="11"/>
        <color theme="0"/>
        <name val="Calibri"/>
        <family val="2"/>
        <scheme val="minor"/>
      </font>
      <fill>
        <patternFill patternType="solid">
          <fgColor theme="1"/>
          <bgColor theme="1"/>
        </patternFill>
      </fill>
      <alignment horizontal="left" vertical="bottom" textRotation="0" wrapText="0" indent="0" justifyLastLine="0" shrinkToFit="0" readingOrder="0"/>
    </dxf>
    <dxf>
      <font>
        <b/>
        <i val="0"/>
        <strike val="0"/>
        <condense val="0"/>
        <extend val="0"/>
        <outline val="0"/>
        <shadow val="0"/>
        <u/>
        <vertAlign val="baseline"/>
        <sz val="11"/>
        <color theme="0"/>
        <name val="Calibri"/>
        <family val="2"/>
        <scheme val="minor"/>
      </font>
      <fill>
        <patternFill patternType="solid">
          <fgColor theme="6"/>
          <bgColor theme="6"/>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ertAlign val="baseline"/>
        <sz val="11"/>
        <color theme="0"/>
        <name val="Calibri"/>
        <family val="2"/>
        <scheme val="minor"/>
      </font>
      <fill>
        <patternFill patternType="solid">
          <fgColor theme="1"/>
          <bgColor theme="1"/>
        </patternFill>
      </fill>
      <alignment horizontal="left" vertical="bottom" textRotation="0" wrapText="0" indent="0" justifyLastLine="0" shrinkToFit="0" readingOrder="0"/>
    </dxf>
    <dxf>
      <font>
        <b/>
        <i val="0"/>
        <strike val="0"/>
        <condense val="0"/>
        <extend val="0"/>
        <outline val="0"/>
        <shadow val="0"/>
        <u/>
        <vertAlign val="baseline"/>
        <sz val="11"/>
        <color theme="0"/>
        <name val="Calibri"/>
        <family val="2"/>
        <scheme val="minor"/>
      </font>
      <fill>
        <patternFill patternType="solid">
          <fgColor theme="6"/>
          <bgColor theme="6"/>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outline="0">
        <top style="thin">
          <color theme="1"/>
        </top>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ertAlign val="baseline"/>
        <sz val="11"/>
        <color theme="0"/>
        <name val="Calibri"/>
        <family val="2"/>
        <scheme val="minor"/>
      </font>
      <fill>
        <patternFill patternType="solid">
          <fgColor theme="1"/>
          <bgColor theme="1"/>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outline="0">
        <top style="thin">
          <color theme="6"/>
        </top>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ertAlign val="baseline"/>
        <sz val="11"/>
        <color theme="0"/>
        <name val="Calibri"/>
        <family val="2"/>
        <scheme val="minor"/>
      </font>
      <fill>
        <patternFill patternType="solid">
          <fgColor theme="6"/>
          <bgColor theme="6"/>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border outline="0">
        <top style="thin">
          <color theme="6"/>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ertAlign val="baseline"/>
        <sz val="11"/>
        <color theme="0"/>
        <name val="Calibri"/>
        <family val="2"/>
        <scheme val="minor"/>
      </font>
      <fill>
        <patternFill patternType="solid">
          <fgColor theme="6"/>
          <bgColor theme="6"/>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ertAlign val="baseline"/>
        <sz val="11"/>
        <color theme="0"/>
        <name val="Calibri"/>
        <family val="2"/>
        <scheme val="minor"/>
      </font>
      <fill>
        <patternFill patternType="solid">
          <fgColor theme="1"/>
          <bgColor theme="1"/>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i val="0"/>
        <strike val="0"/>
        <condense val="0"/>
        <extend val="0"/>
        <outline val="0"/>
        <shadow val="0"/>
        <u/>
        <vertAlign val="baseline"/>
        <sz val="11"/>
        <color theme="0"/>
        <name val="Calibri"/>
        <family val="2"/>
        <scheme val="minor"/>
      </font>
      <fill>
        <patternFill patternType="solid">
          <fgColor theme="1"/>
          <bgColor theme="1"/>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border outline="0">
        <top style="thin">
          <color theme="1"/>
        </top>
      </border>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i val="0"/>
        <strike val="0"/>
        <condense val="0"/>
        <extend val="0"/>
        <outline val="0"/>
        <shadow val="0"/>
        <u/>
        <vertAlign val="baseline"/>
        <sz val="11"/>
        <color theme="0"/>
        <name val="Calibri"/>
        <family val="2"/>
        <scheme val="minor"/>
      </font>
      <fill>
        <patternFill patternType="solid">
          <fgColor theme="1"/>
          <bgColor theme="1"/>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outline="0">
        <top style="thin">
          <color theme="6"/>
        </top>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ertAlign val="baseline"/>
        <sz val="11"/>
        <color theme="0"/>
        <name val="Calibri"/>
        <family val="2"/>
        <scheme val="minor"/>
      </font>
      <fill>
        <patternFill patternType="solid">
          <fgColor theme="6"/>
          <bgColor theme="6"/>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outline="0">
        <top style="thin">
          <color theme="1"/>
        </top>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ertAlign val="baseline"/>
        <sz val="11"/>
        <color theme="0"/>
        <name val="Calibri"/>
        <family val="2"/>
        <scheme val="minor"/>
      </font>
      <fill>
        <patternFill patternType="solid">
          <fgColor theme="1"/>
          <bgColor theme="1"/>
        </patternFill>
      </fill>
      <alignment horizontal="left" vertical="bottom"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protection locked="1" hidden="0"/>
    </dxf>
    <dxf>
      <fill>
        <patternFill patternType="none">
          <fgColor indexed="64"/>
          <bgColor auto="1"/>
        </patternFill>
      </fill>
      <alignment horizontal="general" vertical="top" textRotation="0" wrapText="0" indent="0" justifyLastLine="0" shrinkToFit="0" readingOrder="0"/>
      <protection locked="1" hidden="0"/>
    </dxf>
    <dxf>
      <fill>
        <patternFill patternType="none">
          <fgColor indexed="64"/>
          <bgColor auto="1"/>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oneCellAnchor>
    <xdr:from>
      <xdr:col>1</xdr:col>
      <xdr:colOff>108585</xdr:colOff>
      <xdr:row>1</xdr:row>
      <xdr:rowOff>51435</xdr:rowOff>
    </xdr:from>
    <xdr:ext cx="434618" cy="453390"/>
    <xdr:pic>
      <xdr:nvPicPr>
        <xdr:cNvPr id="2" name="Picture 1" descr="http://inweb/sdot/resources/logos/sealth2c.jpeg">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2885" y="146685"/>
          <a:ext cx="434618" cy="4533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mc:AlternateContent xmlns:mc="http://schemas.openxmlformats.org/markup-compatibility/2006">
    <mc:Choice xmlns:a14="http://schemas.microsoft.com/office/drawing/2010/main" Requires="a14">
      <xdr:twoCellAnchor editAs="oneCell">
        <xdr:from>
          <xdr:col>8</xdr:col>
          <xdr:colOff>403860</xdr:colOff>
          <xdr:row>25</xdr:row>
          <xdr:rowOff>160020</xdr:rowOff>
        </xdr:from>
        <xdr:to>
          <xdr:col>9</xdr:col>
          <xdr:colOff>19050</xdr:colOff>
          <xdr:row>27</xdr:row>
          <xdr:rowOff>38100</xdr:rowOff>
        </xdr:to>
        <xdr:sp macro="" textlink="">
          <xdr:nvSpPr>
            <xdr:cNvPr id="1140" name="Check Box 116" hidden="1">
              <a:extLst>
                <a:ext uri="{63B3BB69-23CF-44E3-9099-C40C66FF867C}">
                  <a14:compatExt spid="_x0000_s1140"/>
                </a:ext>
                <a:ext uri="{FF2B5EF4-FFF2-40B4-BE49-F238E27FC236}">
                  <a16:creationId xmlns:a16="http://schemas.microsoft.com/office/drawing/2014/main" id="{00000000-0008-0000-0000-00007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26</xdr:row>
          <xdr:rowOff>152400</xdr:rowOff>
        </xdr:from>
        <xdr:to>
          <xdr:col>1</xdr:col>
          <xdr:colOff>249555</xdr:colOff>
          <xdr:row>28</xdr:row>
          <xdr:rowOff>20955</xdr:rowOff>
        </xdr:to>
        <xdr:sp macro="" textlink="">
          <xdr:nvSpPr>
            <xdr:cNvPr id="1171" name="Check Box 147" hidden="1">
              <a:extLst>
                <a:ext uri="{63B3BB69-23CF-44E3-9099-C40C66FF867C}">
                  <a14:compatExt spid="_x0000_s1171"/>
                </a:ext>
                <a:ext uri="{FF2B5EF4-FFF2-40B4-BE49-F238E27FC236}">
                  <a16:creationId xmlns:a16="http://schemas.microsoft.com/office/drawing/2014/main" id="{00000000-0008-0000-0000-00009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28</xdr:row>
          <xdr:rowOff>144780</xdr:rowOff>
        </xdr:from>
        <xdr:to>
          <xdr:col>1</xdr:col>
          <xdr:colOff>249555</xdr:colOff>
          <xdr:row>30</xdr:row>
          <xdr:rowOff>15240</xdr:rowOff>
        </xdr:to>
        <xdr:sp macro="" textlink="">
          <xdr:nvSpPr>
            <xdr:cNvPr id="1172" name="Check Box 148" hidden="1">
              <a:extLst>
                <a:ext uri="{63B3BB69-23CF-44E3-9099-C40C66FF867C}">
                  <a14:compatExt spid="_x0000_s1172"/>
                </a:ext>
                <a:ext uri="{FF2B5EF4-FFF2-40B4-BE49-F238E27FC236}">
                  <a16:creationId xmlns:a16="http://schemas.microsoft.com/office/drawing/2014/main" id="{00000000-0008-0000-0000-00009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29</xdr:row>
          <xdr:rowOff>152400</xdr:rowOff>
        </xdr:from>
        <xdr:to>
          <xdr:col>1</xdr:col>
          <xdr:colOff>249555</xdr:colOff>
          <xdr:row>31</xdr:row>
          <xdr:rowOff>20955</xdr:rowOff>
        </xdr:to>
        <xdr:sp macro="" textlink="">
          <xdr:nvSpPr>
            <xdr:cNvPr id="1173" name="Check Box 149" hidden="1">
              <a:extLst>
                <a:ext uri="{63B3BB69-23CF-44E3-9099-C40C66FF867C}">
                  <a14:compatExt spid="_x0000_s1173"/>
                </a:ext>
                <a:ext uri="{FF2B5EF4-FFF2-40B4-BE49-F238E27FC236}">
                  <a16:creationId xmlns:a16="http://schemas.microsoft.com/office/drawing/2014/main" id="{00000000-0008-0000-0000-00009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403860</xdr:colOff>
          <xdr:row>26</xdr:row>
          <xdr:rowOff>160020</xdr:rowOff>
        </xdr:from>
        <xdr:to>
          <xdr:col>9</xdr:col>
          <xdr:colOff>19050</xdr:colOff>
          <xdr:row>28</xdr:row>
          <xdr:rowOff>38100</xdr:rowOff>
        </xdr:to>
        <xdr:sp macro="" textlink="">
          <xdr:nvSpPr>
            <xdr:cNvPr id="1186" name="Check Box 162" hidden="1">
              <a:extLst>
                <a:ext uri="{63B3BB69-23CF-44E3-9099-C40C66FF867C}">
                  <a14:compatExt spid="_x0000_s1186"/>
                </a:ext>
                <a:ext uri="{FF2B5EF4-FFF2-40B4-BE49-F238E27FC236}">
                  <a16:creationId xmlns:a16="http://schemas.microsoft.com/office/drawing/2014/main" id="{00000000-0008-0000-0000-0000A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403860</xdr:colOff>
          <xdr:row>28</xdr:row>
          <xdr:rowOff>160020</xdr:rowOff>
        </xdr:from>
        <xdr:to>
          <xdr:col>9</xdr:col>
          <xdr:colOff>19050</xdr:colOff>
          <xdr:row>30</xdr:row>
          <xdr:rowOff>38100</xdr:rowOff>
        </xdr:to>
        <xdr:sp macro="" textlink="">
          <xdr:nvSpPr>
            <xdr:cNvPr id="1187" name="Check Box 163" hidden="1">
              <a:extLst>
                <a:ext uri="{63B3BB69-23CF-44E3-9099-C40C66FF867C}">
                  <a14:compatExt spid="_x0000_s1187"/>
                </a:ext>
                <a:ext uri="{FF2B5EF4-FFF2-40B4-BE49-F238E27FC236}">
                  <a16:creationId xmlns:a16="http://schemas.microsoft.com/office/drawing/2014/main" id="{00000000-0008-0000-0000-0000A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403860</xdr:colOff>
          <xdr:row>29</xdr:row>
          <xdr:rowOff>160020</xdr:rowOff>
        </xdr:from>
        <xdr:to>
          <xdr:col>9</xdr:col>
          <xdr:colOff>19050</xdr:colOff>
          <xdr:row>31</xdr:row>
          <xdr:rowOff>38100</xdr:rowOff>
        </xdr:to>
        <xdr:sp macro="" textlink="">
          <xdr:nvSpPr>
            <xdr:cNvPr id="1188" name="Check Box 164" hidden="1">
              <a:extLst>
                <a:ext uri="{63B3BB69-23CF-44E3-9099-C40C66FF867C}">
                  <a14:compatExt spid="_x0000_s1188"/>
                </a:ext>
                <a:ext uri="{FF2B5EF4-FFF2-40B4-BE49-F238E27FC236}">
                  <a16:creationId xmlns:a16="http://schemas.microsoft.com/office/drawing/2014/main" id="{00000000-0008-0000-0000-0000A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403860</xdr:colOff>
          <xdr:row>30</xdr:row>
          <xdr:rowOff>160020</xdr:rowOff>
        </xdr:from>
        <xdr:to>
          <xdr:col>9</xdr:col>
          <xdr:colOff>19050</xdr:colOff>
          <xdr:row>32</xdr:row>
          <xdr:rowOff>38100</xdr:rowOff>
        </xdr:to>
        <xdr:sp macro="" textlink="">
          <xdr:nvSpPr>
            <xdr:cNvPr id="1189" name="Check Box 165" hidden="1">
              <a:extLst>
                <a:ext uri="{63B3BB69-23CF-44E3-9099-C40C66FF867C}">
                  <a14:compatExt spid="_x0000_s1189"/>
                </a:ext>
                <a:ext uri="{FF2B5EF4-FFF2-40B4-BE49-F238E27FC236}">
                  <a16:creationId xmlns:a16="http://schemas.microsoft.com/office/drawing/2014/main" id="{00000000-0008-0000-0000-0000A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25</xdr:row>
          <xdr:rowOff>152400</xdr:rowOff>
        </xdr:from>
        <xdr:to>
          <xdr:col>1</xdr:col>
          <xdr:colOff>249555</xdr:colOff>
          <xdr:row>27</xdr:row>
          <xdr:rowOff>20955</xdr:rowOff>
        </xdr:to>
        <xdr:sp macro="" textlink="">
          <xdr:nvSpPr>
            <xdr:cNvPr id="1194" name="Check Box 170" hidden="1">
              <a:extLst>
                <a:ext uri="{63B3BB69-23CF-44E3-9099-C40C66FF867C}">
                  <a14:compatExt spid="_x0000_s1194"/>
                </a:ext>
                <a:ext uri="{FF2B5EF4-FFF2-40B4-BE49-F238E27FC236}">
                  <a16:creationId xmlns:a16="http://schemas.microsoft.com/office/drawing/2014/main" id="{00000000-0008-0000-0000-0000A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403860</xdr:colOff>
          <xdr:row>29</xdr:row>
          <xdr:rowOff>160020</xdr:rowOff>
        </xdr:from>
        <xdr:to>
          <xdr:col>9</xdr:col>
          <xdr:colOff>19050</xdr:colOff>
          <xdr:row>31</xdr:row>
          <xdr:rowOff>38100</xdr:rowOff>
        </xdr:to>
        <xdr:sp macro="" textlink="">
          <xdr:nvSpPr>
            <xdr:cNvPr id="1205" name="Check Box 181" hidden="1">
              <a:extLst>
                <a:ext uri="{63B3BB69-23CF-44E3-9099-C40C66FF867C}">
                  <a14:compatExt spid="_x0000_s1205"/>
                </a:ext>
                <a:ext uri="{FF2B5EF4-FFF2-40B4-BE49-F238E27FC236}">
                  <a16:creationId xmlns:a16="http://schemas.microsoft.com/office/drawing/2014/main" id="{00000000-0008-0000-0000-0000B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403860</xdr:colOff>
          <xdr:row>30</xdr:row>
          <xdr:rowOff>160020</xdr:rowOff>
        </xdr:from>
        <xdr:to>
          <xdr:col>9</xdr:col>
          <xdr:colOff>19050</xdr:colOff>
          <xdr:row>32</xdr:row>
          <xdr:rowOff>38100</xdr:rowOff>
        </xdr:to>
        <xdr:sp macro="" textlink="">
          <xdr:nvSpPr>
            <xdr:cNvPr id="1206" name="Check Box 182" hidden="1">
              <a:extLst>
                <a:ext uri="{63B3BB69-23CF-44E3-9099-C40C66FF867C}">
                  <a14:compatExt spid="_x0000_s1206"/>
                </a:ext>
                <a:ext uri="{FF2B5EF4-FFF2-40B4-BE49-F238E27FC236}">
                  <a16:creationId xmlns:a16="http://schemas.microsoft.com/office/drawing/2014/main" id="{00000000-0008-0000-0000-0000B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403860</xdr:colOff>
          <xdr:row>26</xdr:row>
          <xdr:rowOff>160020</xdr:rowOff>
        </xdr:from>
        <xdr:to>
          <xdr:col>9</xdr:col>
          <xdr:colOff>19050</xdr:colOff>
          <xdr:row>28</xdr:row>
          <xdr:rowOff>38100</xdr:rowOff>
        </xdr:to>
        <xdr:sp macro="" textlink="">
          <xdr:nvSpPr>
            <xdr:cNvPr id="1212" name="Check Box 188" hidden="1">
              <a:extLst>
                <a:ext uri="{63B3BB69-23CF-44E3-9099-C40C66FF867C}">
                  <a14:compatExt spid="_x0000_s1212"/>
                </a:ext>
                <a:ext uri="{FF2B5EF4-FFF2-40B4-BE49-F238E27FC236}">
                  <a16:creationId xmlns:a16="http://schemas.microsoft.com/office/drawing/2014/main" id="{00000000-0008-0000-0000-0000B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403860</xdr:colOff>
          <xdr:row>26</xdr:row>
          <xdr:rowOff>160020</xdr:rowOff>
        </xdr:from>
        <xdr:to>
          <xdr:col>9</xdr:col>
          <xdr:colOff>19050</xdr:colOff>
          <xdr:row>28</xdr:row>
          <xdr:rowOff>38100</xdr:rowOff>
        </xdr:to>
        <xdr:sp macro="" textlink="">
          <xdr:nvSpPr>
            <xdr:cNvPr id="1220" name="Check Box 196" hidden="1">
              <a:extLst>
                <a:ext uri="{63B3BB69-23CF-44E3-9099-C40C66FF867C}">
                  <a14:compatExt spid="_x0000_s1220"/>
                </a:ext>
                <a:ext uri="{FF2B5EF4-FFF2-40B4-BE49-F238E27FC236}">
                  <a16:creationId xmlns:a16="http://schemas.microsoft.com/office/drawing/2014/main" id="{00000000-0008-0000-0000-0000C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403860</xdr:colOff>
          <xdr:row>27</xdr:row>
          <xdr:rowOff>160020</xdr:rowOff>
        </xdr:from>
        <xdr:to>
          <xdr:col>9</xdr:col>
          <xdr:colOff>19050</xdr:colOff>
          <xdr:row>29</xdr:row>
          <xdr:rowOff>38100</xdr:rowOff>
        </xdr:to>
        <xdr:sp macro="" textlink="">
          <xdr:nvSpPr>
            <xdr:cNvPr id="1221" name="Check Box 197" hidden="1">
              <a:extLst>
                <a:ext uri="{63B3BB69-23CF-44E3-9099-C40C66FF867C}">
                  <a14:compatExt spid="_x0000_s1221"/>
                </a:ext>
                <a:ext uri="{FF2B5EF4-FFF2-40B4-BE49-F238E27FC236}">
                  <a16:creationId xmlns:a16="http://schemas.microsoft.com/office/drawing/2014/main" id="{00000000-0008-0000-0000-0000C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403860</xdr:colOff>
          <xdr:row>27</xdr:row>
          <xdr:rowOff>160020</xdr:rowOff>
        </xdr:from>
        <xdr:to>
          <xdr:col>9</xdr:col>
          <xdr:colOff>19050</xdr:colOff>
          <xdr:row>29</xdr:row>
          <xdr:rowOff>38100</xdr:rowOff>
        </xdr:to>
        <xdr:sp macro="" textlink="">
          <xdr:nvSpPr>
            <xdr:cNvPr id="1222" name="Check Box 198" hidden="1">
              <a:extLst>
                <a:ext uri="{63B3BB69-23CF-44E3-9099-C40C66FF867C}">
                  <a14:compatExt spid="_x0000_s1222"/>
                </a:ext>
                <a:ext uri="{FF2B5EF4-FFF2-40B4-BE49-F238E27FC236}">
                  <a16:creationId xmlns:a16="http://schemas.microsoft.com/office/drawing/2014/main" id="{00000000-0008-0000-0000-0000C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403860</xdr:colOff>
          <xdr:row>27</xdr:row>
          <xdr:rowOff>160020</xdr:rowOff>
        </xdr:from>
        <xdr:to>
          <xdr:col>9</xdr:col>
          <xdr:colOff>19050</xdr:colOff>
          <xdr:row>29</xdr:row>
          <xdr:rowOff>38100</xdr:rowOff>
        </xdr:to>
        <xdr:sp macro="" textlink="">
          <xdr:nvSpPr>
            <xdr:cNvPr id="1223" name="Check Box 199" hidden="1">
              <a:extLst>
                <a:ext uri="{63B3BB69-23CF-44E3-9099-C40C66FF867C}">
                  <a14:compatExt spid="_x0000_s1223"/>
                </a:ext>
                <a:ext uri="{FF2B5EF4-FFF2-40B4-BE49-F238E27FC236}">
                  <a16:creationId xmlns:a16="http://schemas.microsoft.com/office/drawing/2014/main" id="{00000000-0008-0000-0000-0000C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27</xdr:row>
          <xdr:rowOff>144780</xdr:rowOff>
        </xdr:from>
        <xdr:to>
          <xdr:col>1</xdr:col>
          <xdr:colOff>249555</xdr:colOff>
          <xdr:row>29</xdr:row>
          <xdr:rowOff>15240</xdr:rowOff>
        </xdr:to>
        <xdr:sp macro="" textlink="">
          <xdr:nvSpPr>
            <xdr:cNvPr id="1225" name="Check Box 201" hidden="1">
              <a:extLst>
                <a:ext uri="{63B3BB69-23CF-44E3-9099-C40C66FF867C}">
                  <a14:compatExt spid="_x0000_s1225"/>
                </a:ext>
                <a:ext uri="{FF2B5EF4-FFF2-40B4-BE49-F238E27FC236}">
                  <a16:creationId xmlns:a16="http://schemas.microsoft.com/office/drawing/2014/main" id="{00000000-0008-0000-0000-0000C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30</xdr:row>
          <xdr:rowOff>152400</xdr:rowOff>
        </xdr:from>
        <xdr:to>
          <xdr:col>1</xdr:col>
          <xdr:colOff>249555</xdr:colOff>
          <xdr:row>32</xdr:row>
          <xdr:rowOff>20955</xdr:rowOff>
        </xdr:to>
        <xdr:sp macro="" textlink="">
          <xdr:nvSpPr>
            <xdr:cNvPr id="1242" name="Check Box 218" hidden="1">
              <a:extLst>
                <a:ext uri="{63B3BB69-23CF-44E3-9099-C40C66FF867C}">
                  <a14:compatExt spid="_x0000_s1242"/>
                </a:ext>
                <a:ext uri="{FF2B5EF4-FFF2-40B4-BE49-F238E27FC236}">
                  <a16:creationId xmlns:a16="http://schemas.microsoft.com/office/drawing/2014/main" id="{00000000-0008-0000-0000-0000D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1</xdr:col>
      <xdr:colOff>95249</xdr:colOff>
      <xdr:row>1</xdr:row>
      <xdr:rowOff>32385</xdr:rowOff>
    </xdr:from>
    <xdr:ext cx="409576" cy="431023"/>
    <xdr:pic>
      <xdr:nvPicPr>
        <xdr:cNvPr id="2" name="Picture 1" descr="http://inweb/sdot/resources/logos/sealth2c.jpeg">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49" y="146685"/>
          <a:ext cx="409576" cy="43102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mc:AlternateContent xmlns:mc="http://schemas.openxmlformats.org/markup-compatibility/2006">
    <mc:Choice xmlns:a14="http://schemas.microsoft.com/office/drawing/2010/main" Requires="a14">
      <xdr:twoCellAnchor editAs="oneCell">
        <xdr:from>
          <xdr:col>5</xdr:col>
          <xdr:colOff>518160</xdr:colOff>
          <xdr:row>11</xdr:row>
          <xdr:rowOff>137160</xdr:rowOff>
        </xdr:from>
        <xdr:to>
          <xdr:col>6</xdr:col>
          <xdr:colOff>365760</xdr:colOff>
          <xdr:row>13</xdr:row>
          <xdr:rowOff>106680</xdr:rowOff>
        </xdr:to>
        <xdr:sp macro="" textlink="">
          <xdr:nvSpPr>
            <xdr:cNvPr id="2093" name="Check Box 45" hidden="1">
              <a:extLst>
                <a:ext uri="{63B3BB69-23CF-44E3-9099-C40C66FF867C}">
                  <a14:compatExt spid="_x0000_s2093"/>
                </a:ext>
                <a:ext uri="{FF2B5EF4-FFF2-40B4-BE49-F238E27FC236}">
                  <a16:creationId xmlns:a16="http://schemas.microsoft.com/office/drawing/2014/main" id="{00000000-0008-0000-0100-00002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68580</xdr:colOff>
          <xdr:row>11</xdr:row>
          <xdr:rowOff>106680</xdr:rowOff>
        </xdr:from>
        <xdr:to>
          <xdr:col>6</xdr:col>
          <xdr:colOff>38100</xdr:colOff>
          <xdr:row>13</xdr:row>
          <xdr:rowOff>144780</xdr:rowOff>
        </xdr:to>
        <xdr:sp macro="" textlink="">
          <xdr:nvSpPr>
            <xdr:cNvPr id="2094" name="Check Box 46" hidden="1">
              <a:extLst>
                <a:ext uri="{63B3BB69-23CF-44E3-9099-C40C66FF867C}">
                  <a14:compatExt spid="_x0000_s2094"/>
                </a:ext>
                <a:ext uri="{FF2B5EF4-FFF2-40B4-BE49-F238E27FC236}">
                  <a16:creationId xmlns:a16="http://schemas.microsoft.com/office/drawing/2014/main" id="{00000000-0008-0000-0100-00002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9</xdr:row>
          <xdr:rowOff>60960</xdr:rowOff>
        </xdr:from>
        <xdr:to>
          <xdr:col>6</xdr:col>
          <xdr:colOff>45720</xdr:colOff>
          <xdr:row>11</xdr:row>
          <xdr:rowOff>99060</xdr:rowOff>
        </xdr:to>
        <xdr:sp macro="" textlink="">
          <xdr:nvSpPr>
            <xdr:cNvPr id="2097" name="Check Box 49" hidden="1">
              <a:extLst>
                <a:ext uri="{63B3BB69-23CF-44E3-9099-C40C66FF867C}">
                  <a14:compatExt spid="_x0000_s2097"/>
                </a:ext>
                <a:ext uri="{FF2B5EF4-FFF2-40B4-BE49-F238E27FC236}">
                  <a16:creationId xmlns:a16="http://schemas.microsoft.com/office/drawing/2014/main" id="{00000000-0008-0000-0100-00003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9</xdr:row>
          <xdr:rowOff>83820</xdr:rowOff>
        </xdr:from>
        <xdr:to>
          <xdr:col>6</xdr:col>
          <xdr:colOff>381000</xdr:colOff>
          <xdr:row>11</xdr:row>
          <xdr:rowOff>60960</xdr:rowOff>
        </xdr:to>
        <xdr:sp macro="" textlink="">
          <xdr:nvSpPr>
            <xdr:cNvPr id="2098" name="Check Box 50" hidden="1">
              <a:extLst>
                <a:ext uri="{63B3BB69-23CF-44E3-9099-C40C66FF867C}">
                  <a14:compatExt spid="_x0000_s2098"/>
                </a:ext>
                <a:ext uri="{FF2B5EF4-FFF2-40B4-BE49-F238E27FC236}">
                  <a16:creationId xmlns:a16="http://schemas.microsoft.com/office/drawing/2014/main" id="{00000000-0008-0000-0100-00003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dr:oneCellAnchor>
    <xdr:from>
      <xdr:col>1</xdr:col>
      <xdr:colOff>95250</xdr:colOff>
      <xdr:row>1</xdr:row>
      <xdr:rowOff>70486</xdr:rowOff>
    </xdr:from>
    <xdr:ext cx="304800" cy="362966"/>
    <xdr:pic>
      <xdr:nvPicPr>
        <xdr:cNvPr id="2" name="Picture 1" descr="http://inweb/sdot/resources/logos/sealth2c.jpeg">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184786"/>
          <a:ext cx="304800" cy="3629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95249</xdr:colOff>
      <xdr:row>1</xdr:row>
      <xdr:rowOff>32385</xdr:rowOff>
    </xdr:from>
    <xdr:ext cx="409576" cy="431023"/>
    <xdr:pic>
      <xdr:nvPicPr>
        <xdr:cNvPr id="3" name="Picture 2" descr="http://inweb/sdot/resources/logos/sealth2c.jpeg">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49" y="146685"/>
          <a:ext cx="409576" cy="43102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warrenj/Desktop/Activity%20Set-Up%20Form%20(Connectionles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Finance\SRI\Project%20Documents\Business%20Processes%20-%20Finance%20Only\Forms%20&amp;%20Cheat%20Sheets\DRAFT%20NEW%20PROJECT%20SETUP%20FORM%20-%20%20Finance%20Testing%2010_18_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aft PMs COMPLETE"/>
      <sheetName val="Draft FIN &amp; ACCT ONLY"/>
      <sheetName val="EDIT PMs COMPLETE"/>
      <sheetName val="EDIT FIN &amp; ACCT ONLY"/>
      <sheetName val="Definitions (2)"/>
      <sheetName val="PMs COMPLETE"/>
      <sheetName val="FIN &amp; ACCT ONLY"/>
      <sheetName val="Pulldowns"/>
      <sheetName val="ProjectList"/>
      <sheetName val="Definitions"/>
      <sheetName val="Documentation"/>
    </sheetNames>
    <sheetDataSet>
      <sheetData sheetId="0" refreshError="1"/>
      <sheetData sheetId="1" refreshError="1"/>
      <sheetData sheetId="2" refreshError="1"/>
      <sheetData sheetId="3" refreshError="1"/>
      <sheetData sheetId="4" refreshError="1"/>
      <sheetData sheetId="5" refreshError="1"/>
      <sheetData sheetId="6"/>
      <sheetData sheetId="7">
        <row r="1">
          <cell r="A1" t="str">
            <v>A</v>
          </cell>
          <cell r="B1">
            <v>1</v>
          </cell>
        </row>
        <row r="2">
          <cell r="A2" t="str">
            <v>B</v>
          </cell>
          <cell r="B2">
            <v>2</v>
          </cell>
          <cell r="C2" t="str">
            <v>00161 - REET II</v>
          </cell>
        </row>
        <row r="3">
          <cell r="A3" t="str">
            <v>C</v>
          </cell>
          <cell r="B3">
            <v>3</v>
          </cell>
          <cell r="C3" t="str">
            <v>00163 - REET I</v>
          </cell>
        </row>
        <row r="4">
          <cell r="A4" t="str">
            <v>D</v>
          </cell>
          <cell r="B4">
            <v>4</v>
          </cell>
          <cell r="C4" t="str">
            <v>00169 - Street Vac</v>
          </cell>
        </row>
        <row r="5">
          <cell r="A5" t="str">
            <v>E</v>
          </cell>
          <cell r="B5">
            <v>5</v>
          </cell>
          <cell r="C5" t="str">
            <v>00185 - Emergency Subfund</v>
          </cell>
        </row>
        <row r="6">
          <cell r="A6" t="str">
            <v>F</v>
          </cell>
          <cell r="B6">
            <v>6</v>
          </cell>
          <cell r="C6" t="str">
            <v>10315 - Waterway</v>
          </cell>
        </row>
        <row r="7">
          <cell r="A7" t="str">
            <v>G</v>
          </cell>
          <cell r="B7">
            <v>7</v>
          </cell>
          <cell r="C7" t="str">
            <v>10340 - Gas Tax</v>
          </cell>
        </row>
        <row r="8">
          <cell r="A8" t="str">
            <v>H</v>
          </cell>
          <cell r="B8">
            <v>8</v>
          </cell>
          <cell r="C8" t="str">
            <v>10350 - Grant</v>
          </cell>
        </row>
        <row r="9">
          <cell r="A9" t="str">
            <v>I</v>
          </cell>
          <cell r="B9">
            <v>9</v>
          </cell>
          <cell r="C9" t="str">
            <v>10355 - Partnership</v>
          </cell>
        </row>
        <row r="10">
          <cell r="A10" t="str">
            <v>J</v>
          </cell>
          <cell r="B10">
            <v>10</v>
          </cell>
          <cell r="C10" t="str">
            <v>10360 - Paving Subfund</v>
          </cell>
        </row>
        <row r="11">
          <cell r="A11" t="str">
            <v>K</v>
          </cell>
          <cell r="C11" t="str">
            <v>10390 - General Fund</v>
          </cell>
        </row>
        <row r="12">
          <cell r="A12" t="str">
            <v>L</v>
          </cell>
          <cell r="C12" t="str">
            <v>10391 - External Advance Subfund</v>
          </cell>
        </row>
        <row r="13">
          <cell r="A13" t="str">
            <v>M</v>
          </cell>
          <cell r="C13" t="str">
            <v>10392 - EHT</v>
          </cell>
        </row>
        <row r="14">
          <cell r="A14" t="str">
            <v>N</v>
          </cell>
          <cell r="C14" t="str">
            <v>10393 - CPT</v>
          </cell>
        </row>
        <row r="15">
          <cell r="A15" t="str">
            <v>O</v>
          </cell>
          <cell r="C15" t="str">
            <v>10394 - LLL</v>
          </cell>
        </row>
        <row r="16">
          <cell r="A16" t="str">
            <v>P</v>
          </cell>
          <cell r="C16" t="str">
            <v>10395 - Streetcar I/F Loan SUBFD</v>
          </cell>
        </row>
        <row r="17">
          <cell r="A17" t="str">
            <v>Q</v>
          </cell>
          <cell r="C17" t="str">
            <v>10396 - Mitigation</v>
          </cell>
        </row>
        <row r="18">
          <cell r="A18" t="str">
            <v>R</v>
          </cell>
          <cell r="C18" t="str">
            <v>10397 - 2.5% AWV CPT</v>
          </cell>
        </row>
        <row r="19">
          <cell r="A19" t="str">
            <v>S</v>
          </cell>
          <cell r="C19" t="str">
            <v>10398-Move Seattle Levy Fund</v>
          </cell>
        </row>
        <row r="20">
          <cell r="A20" t="str">
            <v>R</v>
          </cell>
          <cell r="C20" t="str">
            <v>10810 - Streetcar Subfund</v>
          </cell>
        </row>
        <row r="21">
          <cell r="A21" t="str">
            <v>T</v>
          </cell>
          <cell r="C21" t="str">
            <v>18500-School Safety &amp; Ped Improvem't</v>
          </cell>
        </row>
        <row r="22">
          <cell r="A22" t="str">
            <v>U</v>
          </cell>
          <cell r="C22" t="str">
            <v>19910 - TBD-VLF</v>
          </cell>
        </row>
        <row r="23">
          <cell r="A23" t="str">
            <v>V</v>
          </cell>
          <cell r="C23" t="str">
            <v>19920-2014 STBD Proposition 1</v>
          </cell>
        </row>
        <row r="24">
          <cell r="A24" t="str">
            <v>W</v>
          </cell>
          <cell r="C24" t="str">
            <v>35300 - 2009 LTGO</v>
          </cell>
        </row>
        <row r="25">
          <cell r="A25" t="str">
            <v>X</v>
          </cell>
          <cell r="C25" t="str">
            <v>35400 - 2010 LTGO</v>
          </cell>
        </row>
        <row r="26">
          <cell r="A26" t="str">
            <v>Y</v>
          </cell>
          <cell r="C26" t="str">
            <v>35500 - 2011 LTGO</v>
          </cell>
        </row>
        <row r="27">
          <cell r="A27" t="str">
            <v>Z</v>
          </cell>
          <cell r="C27" t="str">
            <v>35600 - 2012 LTGO</v>
          </cell>
        </row>
        <row r="28">
          <cell r="C28" t="str">
            <v>35700 - 2013 LTGO</v>
          </cell>
        </row>
        <row r="29">
          <cell r="C29" t="str">
            <v>35800 - Seawall</v>
          </cell>
        </row>
        <row r="30">
          <cell r="C30" t="str">
            <v>35900 - CWF</v>
          </cell>
        </row>
        <row r="31">
          <cell r="C31" t="str">
            <v>36100-2014 LTGO Bond Fund</v>
          </cell>
        </row>
        <row r="32">
          <cell r="C32" t="str">
            <v>36200-2015 Tax Exempt TGO Bond Fd</v>
          </cell>
        </row>
        <row r="33">
          <cell r="C33" t="str">
            <v>36210-2015 Taxable LTGO Bond Fund</v>
          </cell>
        </row>
        <row r="34">
          <cell r="C34" t="str">
            <v>36300-2016 Multipurpose LTGO Bond Fd</v>
          </cell>
        </row>
        <row r="35">
          <cell r="C35" t="str">
            <v>36310-2016 LTGO Taxable Bond Fund</v>
          </cell>
        </row>
        <row r="36">
          <cell r="C36" t="str">
            <v>36400-2017 LTGO Bond Fund</v>
          </cell>
        </row>
        <row r="37">
          <cell r="C37" t="str">
            <v>SCL - Pointer</v>
          </cell>
        </row>
        <row r="38">
          <cell r="C38" t="str">
            <v>SCL - A/R</v>
          </cell>
        </row>
        <row r="39">
          <cell r="C39" t="str">
            <v>SPU - Pointer</v>
          </cell>
        </row>
        <row r="40">
          <cell r="C40" t="str">
            <v>SPU - A/R</v>
          </cell>
        </row>
        <row r="41">
          <cell r="C41" t="str">
            <v>Other City Entity - Pointer</v>
          </cell>
        </row>
        <row r="42">
          <cell r="C42" t="str">
            <v>Other City Entity - A/R</v>
          </cell>
        </row>
        <row r="43">
          <cell r="C43" t="str">
            <v>External Entity - A/R</v>
          </cell>
        </row>
      </sheetData>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llDowns"/>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566D5D6-B0AB-4C41-B5F2-3E6AF448FD96}" name="targetactivity" displayName="targetactivity" ref="AG28:AG31" totalsRowShown="0" headerRowDxfId="127" dataDxfId="126">
  <autoFilter ref="AG28:AG31" xr:uid="{DEE5B28F-A618-4334-BC93-645A16B693B2}"/>
  <tableColumns count="1">
    <tableColumn id="2" xr3:uid="{017E5741-3CE8-44CD-AFC7-427C514AF3EA}" name="Column2" dataDxfId="1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B601CF-4AD1-4B86-8204-6A8AA4C80701}" name="Table1" displayName="Table1" ref="B1:B3" totalsRowShown="0" headerRowDxfId="124" dataDxfId="123" tableBorderDxfId="122">
  <tableColumns count="1">
    <tableColumn id="1" xr3:uid="{5A318668-5927-46B9-A263-C25B976FCD6B}" name="Rate Plan" dataDxfId="121"/>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92C641-B1C5-4456-9E29-062D1B72915D}" name="ActivityType" displayName="ActivityType" ref="C1:C13" totalsRowShown="0" headerRowDxfId="120" dataDxfId="119" tableBorderDxfId="118">
  <tableColumns count="1">
    <tableColumn id="1" xr3:uid="{978A0EA4-8674-48E7-A9F9-FFA57DCDC066}" name="Types" dataDxfId="117"/>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E6FD88-9F7C-4BAE-87CC-AC1C59117A6C}" name="Table4" displayName="Table4" ref="D1:D3" totalsRowShown="0" headerRowDxfId="116" dataDxfId="115" tableBorderDxfId="114">
  <tableColumns count="1">
    <tableColumn id="1" xr3:uid="{DBCA9E65-201E-4703-B493-D22A651DD34B}" name="Labor Charges OK?" dataDxfId="113"/>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2AD8A8-FAD8-49FE-A872-281F6A4297B6}" name="Table5" displayName="Table5" ref="E1:E3" totalsRowShown="0" headerRowDxfId="112" dataDxfId="111">
  <tableColumns count="1">
    <tableColumn id="1" xr3:uid="{83BC28CB-7049-4397-A0E5-5D4EE2D009C9}" name="Asset?" dataDxfId="110"/>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DAE3D82-C91E-490D-B470-7D215D22A9BE}" name="Table6" displayName="Table6" ref="F1:F6" totalsRowShown="0" headerRowDxfId="109" dataDxfId="108">
  <tableColumns count="1">
    <tableColumn id="1" xr3:uid="{45CECD5C-371A-40C7-BC75-D6C52B018866}" name="Prime Fund" dataDxfId="107"/>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B7802B3-6C74-4273-9708-80AC91C2ADB0}" name="Table7" displayName="Table7" ref="G1:G41" totalsRowShown="0" headerRowDxfId="106" dataDxfId="105" tableBorderDxfId="104">
  <tableColumns count="1">
    <tableColumn id="1" xr3:uid="{EC84E8D8-8C20-4DA9-BC7E-A0A8844DF383}" name="Fund" dataDxfId="103"/>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3785A4C-57E6-433C-9D70-D045D4D0CE5E}" name="Table8" displayName="Table8" ref="I1:I2" totalsRowShown="0" headerRowDxfId="102" dataDxfId="101" tableBorderDxfId="100">
  <tableColumns count="1">
    <tableColumn id="1" xr3:uid="{EA5CD6F9-EFDA-4CD1-A6F3-38781E0A2651}" name="BSL Project" dataDxfId="99"/>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6642017-C22C-40B3-92D1-6930D14A3610}" name="Table9" displayName="Table9" ref="J1:J2" totalsRowShown="0" headerRowDxfId="98" dataDxfId="97" tableBorderDxfId="96">
  <tableColumns count="1">
    <tableColumn id="1" xr3:uid="{4C298D06-5B44-48C8-95D9-F795121712BE}" name="BSL Program" dataDxfId="95"/>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D24E8C8-CF26-4A71-80CF-8AAE4150E6EB}" name="Reimbursable?" displayName="Reimbursable?" ref="K1:K3" totalsRowShown="0" headerRowDxfId="94">
  <tableColumns count="1">
    <tableColumn id="1" xr3:uid="{61B0D2CC-0D7D-438C-BAA5-1F632BF877C8}" name="Activity Billing"/>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DE9052F-E05C-4CCB-ACE4-F3927A04A8D1}" name="Table11" displayName="Table11" ref="L1:L5" totalsRowShown="0" headerRowDxfId="93" dataDxfId="92">
  <tableColumns count="1">
    <tableColumn id="1" xr3:uid="{6FBF6E8D-E962-4431-9B75-14BAFAE31CD8}" name="Reimbursment Types" dataDxfId="91"/>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A9EC470-4246-4BDC-815C-71F5B8AC7124}" name="StandardUniqueReimbursable" displayName="StandardUniqueReimbursable" ref="M1:M2" totalsRowShown="0" headerRowDxfId="90">
  <tableColumns count="1">
    <tableColumn id="1" xr3:uid="{7C6EF66B-FB39-4985-985F-B09657DE3FC4}" name="Standard or Unique - Reimb"/>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AE85159-997E-44F3-823D-AB6AC044942C}" name="Table13" displayName="Table13" ref="P1:Q856" totalsRowShown="0" headerRowDxfId="89" dataDxfId="88">
  <tableColumns count="2">
    <tableColumn id="1" xr3:uid="{F9DEE160-0226-45D0-948D-D557FE119518}" name="Detail Project" dataDxfId="87"/>
    <tableColumn id="3" xr3:uid="{483073A1-CB95-4744-B3F4-B87F67A773C5}" name="Source" dataDxfId="86"/>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CB6BB7F-B704-46A6-896D-EFCA32F2C4FB}" name="Table14" displayName="Table14" ref="H1:H44" totalsRowShown="0" headerRowDxfId="85" dataDxfId="84" tableBorderDxfId="83">
  <sortState xmlns:xlrd2="http://schemas.microsoft.com/office/spreadsheetml/2017/richdata2" ref="H2:H91">
    <sortCondition ref="H3:H91"/>
  </sortState>
  <tableColumns count="1">
    <tableColumn id="1" xr3:uid="{9F20E3E9-201E-45BD-9E10-1F3BFAA00688}" name="Funding Sources" dataDxfId="82"/>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00FEA6E-D028-4231-B5E5-2AC050A9F19E}" name="StandardUniqueNA" displayName="StandardUniqueNA" ref="N1:N3" totalsRowShown="0" headerRowDxfId="81">
  <tableColumns count="1">
    <tableColumn id="1" xr3:uid="{390B6A63-0EDE-4C94-BFB8-CEDC06F93875}" name="Standard or Unique-N/A"/>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FF74F85-FEDF-4F50-A3AC-50DBA287A294}" name="StandardUniqueGrant" displayName="StandardUniqueGrant" ref="O1:O3" totalsRowShown="0" headerRowDxfId="80">
  <tableColumns count="1">
    <tableColumn id="1" xr3:uid="{AE82F818-3D78-47EE-8984-F0CE0787121F}" name="Standard or Unique-Grant"/>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1C77E0-2160-461B-BA71-41CB6851A5D0}" name="NAInitiation" displayName="NAInitiation" ref="A3:A4" totalsRowShown="0" headerRowDxfId="79">
  <autoFilter ref="A3:A4" xr:uid="{987D3CC8-A1DD-461E-AA68-9E9D09B189C5}"/>
  <tableColumns count="1">
    <tableColumn id="1" xr3:uid="{D506559B-47A8-43D8-B7F9-3721C97F9934}" name="NAInitiation"/>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91DBA75-7FD4-438D-A26A-492415869199}" name="NAPrePlanning" displayName="NAPrePlanning" ref="B3:B4" totalsRowShown="0" headerRowDxfId="78">
  <autoFilter ref="B3:B4" xr:uid="{4A9C95DA-E8B6-4A48-8C58-FF559C7074D8}"/>
  <tableColumns count="1">
    <tableColumn id="1" xr3:uid="{C38B87EF-E6BF-4150-B1CB-1BC19E78A02E}" name="NAPrePlanning"/>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489E686-6882-41DA-AB03-EF9C27C70651}" name="NAAcquisition" displayName="NAAcquisition" ref="C3:C4" totalsRowShown="0" headerRowDxfId="77">
  <autoFilter ref="C3:C4" xr:uid="{D50C8671-25FC-4BCF-A2D6-2036DF85E13D}"/>
  <tableColumns count="1">
    <tableColumn id="1" xr3:uid="{B69DC523-E6AF-4893-93C5-AA0F862388E9}" name="NAAcquisition"/>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483CA29-CD02-4C95-ACA0-F0E6264DE51D}" name="NAPlanning" displayName="NAPlanning" ref="D3:D10" totalsRowShown="0" headerRowDxfId="76">
  <autoFilter ref="D3:D10" xr:uid="{B0AB90B2-9F68-4748-9DF2-BAD3D2EFC95E}"/>
  <tableColumns count="1">
    <tableColumn id="1" xr3:uid="{CF3C6DC8-0615-4514-A5B8-6D4143BFDF4B}" name="NAPlanning"/>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FA6630A-172B-40F5-A061-DFAFE27AE53D}" name="NADesign" displayName="NADesign" ref="E3:E10" totalsRowShown="0" headerRowDxfId="75" dataDxfId="74">
  <autoFilter ref="E3:E10" xr:uid="{126BFF80-EB7B-48C7-A829-9646A5093805}"/>
  <tableColumns count="1">
    <tableColumn id="1" xr3:uid="{7A7291F6-15F2-4C7C-8D36-081E1DB627E0}" name="NADesign" dataDxfId="73"/>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C1C74D1-5452-4F42-8D11-A8A8A4916278}" name="NAConstruction" displayName="NAConstruction" ref="F3:F9" totalsRowShown="0" headerRowDxfId="72">
  <autoFilter ref="F3:F9" xr:uid="{654D0A17-FFFA-48DA-90D3-5C1C8CD7D841}"/>
  <tableColumns count="1">
    <tableColumn id="1" xr3:uid="{ED4403DE-FAF9-4768-92FA-B64D3B3C9BF8}" name="NAConstruction"/>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68DD422-95F6-459D-A8E5-3B1248A5EB0E}" name="NAClose" displayName="NAClose" ref="G3:G8" totalsRowShown="0" headerRowDxfId="71">
  <autoFilter ref="G3:G8" xr:uid="{B7F2ECD6-6530-4648-BE68-B2092875180F}"/>
  <tableColumns count="1">
    <tableColumn id="1" xr3:uid="{93EC44A7-F924-4DE5-96CD-6B04CF03AF66}" name="NAClose"/>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FCD4F4A-5AE9-4260-B986-16820EDBA176}" name="NAOpsandMaint" displayName="NAOpsandMaint" ref="H3:H80" totalsRowShown="0" headerRowDxfId="70" dataDxfId="69">
  <autoFilter ref="H3:H80" xr:uid="{C96E84F6-AEC0-4981-8640-3C32253B80E0}"/>
  <tableColumns count="1">
    <tableColumn id="1" xr3:uid="{5FC3D7EC-25B1-4A82-94E6-F4F155CF4F8B}" name="NAOpsandMaint" dataDxfId="68"/>
  </tableColumns>
  <tableStyleInfo name="TableStyleLight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1BCB16C-0D3C-457A-98B3-94ECD2E6A2BA}" name="NAGenandAdmin" displayName="NAGenandAdmin" ref="I3:I9" totalsRowShown="0" headerRowDxfId="67">
  <autoFilter ref="I3:I9" xr:uid="{65DE9757-ACF6-4D61-93F0-536AF0E7B0A8}"/>
  <tableColumns count="1">
    <tableColumn id="1" xr3:uid="{A1263569-80D9-48E2-BF23-83818C37D13C}" name="NAGenandAdmin"/>
  </tableColumns>
  <tableStyleInfo name="TableStyleLight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58E7CA2-4F6F-47D4-BFAE-A81DE02B57BC}" name="NARevenueOnly" displayName="NARevenueOnly" ref="J3:J9" totalsRowShown="0" headerRowDxfId="66">
  <autoFilter ref="J3:J9" xr:uid="{5A12132F-B8F9-413E-90CF-ECC4BBE04B20}"/>
  <tableColumns count="1">
    <tableColumn id="1" xr3:uid="{802AB718-DA5B-42A5-BE9D-A1EFDFF86993}" name="NARevenueOnly"/>
  </tableColumns>
  <tableStyleInfo name="TableStyleLight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7ABA6BB-2F9C-46A3-88B6-D9449EE02C5A}" name="StandardOpsandMaint" displayName="StandardOpsandMaint" ref="K3:K5" totalsRowShown="0" headerRowDxfId="65" dataDxfId="64">
  <autoFilter ref="K3:K5" xr:uid="{3B82D8F3-8B87-4A57-98AF-DBE54DF1DDD7}"/>
  <tableColumns count="1">
    <tableColumn id="1" xr3:uid="{8252F128-4570-473F-88E3-333B868B59B9}" name="StandardOpsandMaint" dataDxfId="63"/>
  </tableColumns>
  <tableStyleInfo name="TableStyleLight8" showFirstColumn="0" showLastColumn="0" showRowStripes="1" showColumnStripes="0"/>
  <extLst>
    <ext xmlns:x14="http://schemas.microsoft.com/office/spreadsheetml/2009/9/main" uri="{504A1905-F514-4f6f-8877-14C23A59335A}">
      <x14:table altText="OpsandMaintStandard"/>
    </ext>
  </extLst>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EFD5CEA-FDCA-4EBF-AA32-3617691A2F6B}" name="StandardClose" displayName="StandardClose" ref="L3:L6" totalsRowShown="0" headerRowDxfId="62" dataDxfId="61">
  <autoFilter ref="L3:L6" xr:uid="{EF2D3738-E0EB-4709-A7A1-8A307E24E76E}"/>
  <tableColumns count="1">
    <tableColumn id="1" xr3:uid="{03CBEF37-6F22-4D0D-BB7D-CFE4629F5FB3}" name="StandardClose" dataDxfId="60"/>
  </tableColumns>
  <tableStyleInfo name="TableStyleLight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E021678-9942-4A2C-BC85-6C044D76D0FF}" name="StandardDesign" displayName="StandardDesign" ref="M3:M6" totalsRowShown="0" headerRowDxfId="59" dataDxfId="58">
  <autoFilter ref="M3:M6" xr:uid="{6FC0005E-6CFF-44B7-8FD6-498C55D54900}"/>
  <tableColumns count="1">
    <tableColumn id="1" xr3:uid="{4FCA6570-448C-491A-9E56-D015E5DF343C}" name="StandardDesign" dataDxfId="57"/>
  </tableColumns>
  <tableStyleInfo name="TableStyleLight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01F75F9-042B-4790-B4E4-94E48DE38577}" name="StandardConstruction" displayName="StandardConstruction" ref="N3:N8" totalsRowShown="0" headerRowDxfId="56" dataDxfId="55">
  <autoFilter ref="N3:N8" xr:uid="{047B2439-E57F-4019-8DDF-C82840B3CF8D}"/>
  <tableColumns count="1">
    <tableColumn id="1" xr3:uid="{B4F403B8-B79C-4DDD-97A4-9D3754C3D74A}" name="StandardConstruction" dataDxfId="54"/>
  </tableColumns>
  <tableStyleInfo name="TableStyleLight8" showFirstColumn="0" showLastColumn="0" showRowStripes="1" showColumnStripes="0"/>
  <extLst>
    <ext xmlns:x14="http://schemas.microsoft.com/office/spreadsheetml/2009/9/main" uri="{504A1905-F514-4f6f-8877-14C23A59335A}">
      <x14:table altText="ConstructionStandard"/>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trlProp" Target="../ctrlProps/ctrlProp2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1.xml"/><Relationship Id="rId5" Type="http://schemas.openxmlformats.org/officeDocument/2006/relationships/ctrlProp" Target="../ctrlProps/ctrlProp20.xml"/><Relationship Id="rId4" Type="http://schemas.openxmlformats.org/officeDocument/2006/relationships/ctrlProp" Target="../ctrlProps/ctrlProp19.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seattlegov.sharepoint.com/:x:/r/sites/DOT_Finance_GRP/Finance%20Resources/Ineligible%20Grant%20Costs%20Calculator.xlsx?d=we3c0dcdf26724fc4a1aad2b42ae0e413&amp;csf=1&amp;web=1&amp;e=JawfMD" TargetMode="Externa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2" Type="http://schemas.openxmlformats.org/officeDocument/2006/relationships/table" Target="../tables/table17.xml"/><Relationship Id="rId1" Type="http://schemas.openxmlformats.org/officeDocument/2006/relationships/printerSettings" Target="../printerSettings/printerSettings5.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42"/>
  <sheetViews>
    <sheetView tabSelected="1" zoomScaleNormal="100" workbookViewId="0">
      <selection activeCell="O9" sqref="O9"/>
    </sheetView>
  </sheetViews>
  <sheetFormatPr defaultColWidth="9.33203125" defaultRowHeight="14.4" x14ac:dyDescent="0.3"/>
  <cols>
    <col min="1" max="1" width="1.6640625" style="27" customWidth="1"/>
    <col min="2" max="2" width="9.33203125" style="27"/>
    <col min="3" max="3" width="10.6640625" style="27" customWidth="1"/>
    <col min="4" max="4" width="9.33203125" style="27" customWidth="1"/>
    <col min="5" max="7" width="11.6640625" style="27" customWidth="1"/>
    <col min="8" max="8" width="9.6640625" style="27" customWidth="1"/>
    <col min="9" max="9" width="9.33203125" style="27"/>
    <col min="10" max="10" width="26.6640625" style="27" customWidth="1"/>
    <col min="11" max="11" width="9.33203125" style="27"/>
    <col min="12" max="12" width="15" style="27" customWidth="1"/>
    <col min="13" max="13" width="2" style="27" customWidth="1"/>
    <col min="14" max="14" width="9.33203125" style="27"/>
    <col min="15" max="15" width="32" style="27" bestFit="1" customWidth="1"/>
    <col min="16" max="16384" width="9.33203125" style="27"/>
  </cols>
  <sheetData>
    <row r="1" spans="1:15" ht="7.5" customHeight="1" thickBot="1" x14ac:dyDescent="0.35">
      <c r="A1" s="20"/>
      <c r="B1" s="21"/>
      <c r="C1" s="22"/>
      <c r="D1" s="22"/>
      <c r="E1" s="22"/>
      <c r="F1" s="22"/>
      <c r="G1" s="22"/>
      <c r="H1" s="22"/>
      <c r="I1" s="22"/>
      <c r="J1" s="22"/>
      <c r="K1" s="22"/>
      <c r="L1" s="22"/>
      <c r="M1" s="23"/>
    </row>
    <row r="2" spans="1:15" ht="23.4" x14ac:dyDescent="0.45">
      <c r="A2" s="24"/>
      <c r="B2" s="231" t="s">
        <v>23</v>
      </c>
      <c r="C2" s="232"/>
      <c r="D2" s="232"/>
      <c r="E2" s="232"/>
      <c r="F2" s="232"/>
      <c r="G2" s="232"/>
      <c r="H2" s="232"/>
      <c r="I2" s="232"/>
      <c r="J2" s="235" t="s">
        <v>1232</v>
      </c>
      <c r="K2" s="235"/>
      <c r="L2" s="236"/>
      <c r="M2" s="25"/>
      <c r="O2" s="224" t="str">
        <f>IF(E9="No","SPEND PLAN NEEDED","")</f>
        <v/>
      </c>
    </row>
    <row r="3" spans="1:15" ht="18.600000000000001" thickBot="1" x14ac:dyDescent="0.4">
      <c r="A3" s="24"/>
      <c r="B3" s="233" t="s">
        <v>1100</v>
      </c>
      <c r="C3" s="234"/>
      <c r="D3" s="234"/>
      <c r="E3" s="234"/>
      <c r="F3" s="234"/>
      <c r="G3" s="234"/>
      <c r="H3" s="234"/>
      <c r="I3" s="234"/>
      <c r="J3" s="237" t="s">
        <v>1290</v>
      </c>
      <c r="K3" s="238"/>
      <c r="L3" s="239"/>
      <c r="M3" s="25"/>
    </row>
    <row r="4" spans="1:15" ht="15" thickBot="1" x14ac:dyDescent="0.35">
      <c r="A4" s="24"/>
      <c r="B4" s="26"/>
      <c r="C4" s="26"/>
      <c r="D4" s="26"/>
      <c r="E4" s="26"/>
      <c r="F4" s="26"/>
      <c r="G4" s="26"/>
      <c r="H4" s="26"/>
      <c r="I4" s="26"/>
      <c r="J4" s="26"/>
      <c r="K4" s="26"/>
      <c r="L4" s="26"/>
      <c r="M4" s="25"/>
    </row>
    <row r="5" spans="1:15" x14ac:dyDescent="0.3">
      <c r="A5" s="24"/>
      <c r="B5" s="254" t="s">
        <v>1265</v>
      </c>
      <c r="C5" s="255"/>
      <c r="D5" s="255"/>
      <c r="E5" s="255"/>
      <c r="F5" s="255"/>
      <c r="G5" s="255"/>
      <c r="H5" s="255"/>
      <c r="I5" s="255"/>
      <c r="J5" s="255"/>
      <c r="K5" s="255"/>
      <c r="L5" s="256"/>
      <c r="M5" s="25"/>
    </row>
    <row r="6" spans="1:15" x14ac:dyDescent="0.3">
      <c r="A6" s="24"/>
      <c r="B6" s="269" t="s">
        <v>1266</v>
      </c>
      <c r="C6" s="270"/>
      <c r="D6" s="270"/>
      <c r="E6" s="249" t="s">
        <v>1291</v>
      </c>
      <c r="F6" s="280"/>
      <c r="G6" s="280"/>
      <c r="H6" s="277" t="s">
        <v>944</v>
      </c>
      <c r="I6" s="270"/>
      <c r="J6" s="270"/>
      <c r="K6" s="278">
        <v>20000</v>
      </c>
      <c r="L6" s="279"/>
      <c r="M6" s="25"/>
    </row>
    <row r="7" spans="1:15" ht="14.7" customHeight="1" x14ac:dyDescent="0.3">
      <c r="A7" s="24"/>
      <c r="B7" s="271" t="s">
        <v>1260</v>
      </c>
      <c r="C7" s="272"/>
      <c r="D7" s="273"/>
      <c r="E7" s="249" t="s">
        <v>1292</v>
      </c>
      <c r="F7" s="280"/>
      <c r="G7" s="280"/>
      <c r="H7" s="286" t="s">
        <v>1099</v>
      </c>
      <c r="I7" s="287"/>
      <c r="J7" s="288"/>
      <c r="K7" s="278">
        <v>350000</v>
      </c>
      <c r="L7" s="279"/>
      <c r="M7" s="25"/>
    </row>
    <row r="8" spans="1:15" x14ac:dyDescent="0.3">
      <c r="A8" s="24"/>
      <c r="B8" s="274" t="s">
        <v>1289</v>
      </c>
      <c r="C8" s="275"/>
      <c r="D8" s="276"/>
      <c r="E8" s="249" t="s">
        <v>1293</v>
      </c>
      <c r="F8" s="280"/>
      <c r="G8" s="280"/>
      <c r="H8" s="283" t="s">
        <v>1261</v>
      </c>
      <c r="I8" s="284"/>
      <c r="J8" s="285"/>
      <c r="K8" s="249" t="s">
        <v>18</v>
      </c>
      <c r="L8" s="250"/>
      <c r="M8" s="25"/>
    </row>
    <row r="9" spans="1:15" ht="15" thickBot="1" x14ac:dyDescent="0.35">
      <c r="A9" s="24"/>
      <c r="B9" s="196" t="s">
        <v>1269</v>
      </c>
      <c r="C9" s="197"/>
      <c r="D9" s="197"/>
      <c r="E9" s="289" t="s">
        <v>18</v>
      </c>
      <c r="F9" s="290"/>
      <c r="G9" s="291"/>
      <c r="H9" s="198" t="s">
        <v>1256</v>
      </c>
      <c r="I9" s="199"/>
      <c r="J9" s="199"/>
      <c r="K9" s="292" t="s">
        <v>1296</v>
      </c>
      <c r="L9" s="293"/>
      <c r="M9" s="25"/>
    </row>
    <row r="10" spans="1:15" ht="15" thickBot="1" x14ac:dyDescent="0.35">
      <c r="A10" s="24"/>
      <c r="B10" s="165"/>
      <c r="C10" s="165"/>
      <c r="D10" s="165"/>
      <c r="E10" s="166"/>
      <c r="F10" s="167"/>
      <c r="G10" s="167"/>
      <c r="H10" s="168"/>
      <c r="I10" s="168"/>
      <c r="J10" s="168"/>
      <c r="K10" s="167"/>
      <c r="L10" s="167"/>
      <c r="M10" s="25"/>
    </row>
    <row r="11" spans="1:15" ht="15" customHeight="1" x14ac:dyDescent="0.3">
      <c r="A11" s="24"/>
      <c r="B11" s="257" t="s">
        <v>1267</v>
      </c>
      <c r="C11" s="258"/>
      <c r="D11" s="258"/>
      <c r="E11" s="258"/>
      <c r="F11" s="258"/>
      <c r="G11" s="258"/>
      <c r="H11" s="258"/>
      <c r="I11" s="258"/>
      <c r="J11" s="258"/>
      <c r="K11" s="258"/>
      <c r="L11" s="259"/>
      <c r="M11" s="25"/>
    </row>
    <row r="12" spans="1:15" x14ac:dyDescent="0.3">
      <c r="A12" s="24"/>
      <c r="B12" s="260" t="s">
        <v>1294</v>
      </c>
      <c r="C12" s="261"/>
      <c r="D12" s="261"/>
      <c r="E12" s="261"/>
      <c r="F12" s="261"/>
      <c r="G12" s="261"/>
      <c r="H12" s="261"/>
      <c r="I12" s="261"/>
      <c r="J12" s="261"/>
      <c r="K12" s="261"/>
      <c r="L12" s="262"/>
      <c r="M12" s="25"/>
    </row>
    <row r="13" spans="1:15" x14ac:dyDescent="0.3">
      <c r="A13" s="24"/>
      <c r="B13" s="263"/>
      <c r="C13" s="264"/>
      <c r="D13" s="264"/>
      <c r="E13" s="264"/>
      <c r="F13" s="264"/>
      <c r="G13" s="264"/>
      <c r="H13" s="264"/>
      <c r="I13" s="264"/>
      <c r="J13" s="264"/>
      <c r="K13" s="264"/>
      <c r="L13" s="265"/>
      <c r="M13" s="25"/>
    </row>
    <row r="14" spans="1:15" x14ac:dyDescent="0.3">
      <c r="A14" s="24"/>
      <c r="B14" s="263"/>
      <c r="C14" s="264"/>
      <c r="D14" s="264"/>
      <c r="E14" s="264"/>
      <c r="F14" s="264"/>
      <c r="G14" s="264"/>
      <c r="H14" s="264"/>
      <c r="I14" s="264"/>
      <c r="J14" s="264"/>
      <c r="K14" s="264"/>
      <c r="L14" s="265"/>
      <c r="M14" s="25"/>
    </row>
    <row r="15" spans="1:15" x14ac:dyDescent="0.3">
      <c r="A15" s="24"/>
      <c r="B15" s="263"/>
      <c r="C15" s="264"/>
      <c r="D15" s="264"/>
      <c r="E15" s="264"/>
      <c r="F15" s="264"/>
      <c r="G15" s="264"/>
      <c r="H15" s="264"/>
      <c r="I15" s="264"/>
      <c r="J15" s="264"/>
      <c r="K15" s="264"/>
      <c r="L15" s="265"/>
      <c r="M15" s="25"/>
    </row>
    <row r="16" spans="1:15" x14ac:dyDescent="0.3">
      <c r="A16" s="24"/>
      <c r="B16" s="263"/>
      <c r="C16" s="264"/>
      <c r="D16" s="264"/>
      <c r="E16" s="264"/>
      <c r="F16" s="264"/>
      <c r="G16" s="264"/>
      <c r="H16" s="264"/>
      <c r="I16" s="264"/>
      <c r="J16" s="264"/>
      <c r="K16" s="264"/>
      <c r="L16" s="265"/>
      <c r="M16" s="25"/>
    </row>
    <row r="17" spans="1:16" x14ac:dyDescent="0.3">
      <c r="A17" s="24"/>
      <c r="B17" s="263"/>
      <c r="C17" s="264"/>
      <c r="D17" s="264"/>
      <c r="E17" s="264"/>
      <c r="F17" s="264"/>
      <c r="G17" s="264"/>
      <c r="H17" s="264"/>
      <c r="I17" s="264"/>
      <c r="J17" s="264"/>
      <c r="K17" s="264"/>
      <c r="L17" s="265"/>
      <c r="M17" s="25"/>
    </row>
    <row r="18" spans="1:16" x14ac:dyDescent="0.3">
      <c r="A18" s="24"/>
      <c r="B18" s="263"/>
      <c r="C18" s="264"/>
      <c r="D18" s="264"/>
      <c r="E18" s="264"/>
      <c r="F18" s="264"/>
      <c r="G18" s="264"/>
      <c r="H18" s="264"/>
      <c r="I18" s="264"/>
      <c r="J18" s="264"/>
      <c r="K18" s="264"/>
      <c r="L18" s="265"/>
      <c r="M18" s="25"/>
    </row>
    <row r="19" spans="1:16" ht="15" thickBot="1" x14ac:dyDescent="0.35">
      <c r="A19" s="24"/>
      <c r="B19" s="266"/>
      <c r="C19" s="267"/>
      <c r="D19" s="267"/>
      <c r="E19" s="267"/>
      <c r="F19" s="267"/>
      <c r="G19" s="267"/>
      <c r="H19" s="267"/>
      <c r="I19" s="267"/>
      <c r="J19" s="267"/>
      <c r="K19" s="267"/>
      <c r="L19" s="268"/>
      <c r="M19" s="25"/>
    </row>
    <row r="20" spans="1:16" ht="15" thickBot="1" x14ac:dyDescent="0.35">
      <c r="A20" s="24"/>
      <c r="B20" s="185"/>
      <c r="C20" s="185"/>
      <c r="D20" s="185"/>
      <c r="E20" s="185"/>
      <c r="F20" s="185"/>
      <c r="G20" s="185"/>
      <c r="H20" s="185"/>
      <c r="I20" s="185"/>
      <c r="J20" s="185"/>
      <c r="K20" s="185"/>
      <c r="L20" s="185"/>
      <c r="M20" s="25"/>
    </row>
    <row r="21" spans="1:16" x14ac:dyDescent="0.3">
      <c r="A21" s="24"/>
      <c r="B21" s="254" t="s">
        <v>24</v>
      </c>
      <c r="C21" s="255"/>
      <c r="D21" s="255"/>
      <c r="E21" s="255"/>
      <c r="F21" s="255"/>
      <c r="G21" s="255"/>
      <c r="H21" s="255"/>
      <c r="I21" s="255"/>
      <c r="J21" s="255"/>
      <c r="K21" s="255"/>
      <c r="L21" s="256"/>
      <c r="M21" s="25"/>
    </row>
    <row r="22" spans="1:16" x14ac:dyDescent="0.3">
      <c r="A22" s="24"/>
      <c r="B22" s="298" t="s">
        <v>1258</v>
      </c>
      <c r="C22" s="299"/>
      <c r="D22" s="294" t="s">
        <v>1074</v>
      </c>
      <c r="E22" s="295"/>
      <c r="F22" s="295"/>
      <c r="G22" s="295"/>
      <c r="H22" s="304" t="s">
        <v>903</v>
      </c>
      <c r="I22" s="305"/>
      <c r="J22" s="281" t="s">
        <v>964</v>
      </c>
      <c r="K22" s="281"/>
      <c r="L22" s="282"/>
      <c r="M22" s="25"/>
    </row>
    <row r="23" spans="1:16" x14ac:dyDescent="0.3">
      <c r="A23" s="24"/>
      <c r="B23" s="302" t="s">
        <v>1259</v>
      </c>
      <c r="C23" s="303"/>
      <c r="D23" s="295" t="s">
        <v>29</v>
      </c>
      <c r="E23" s="295"/>
      <c r="F23" s="295"/>
      <c r="G23" s="295"/>
      <c r="H23" s="300" t="s">
        <v>17</v>
      </c>
      <c r="I23" s="301"/>
      <c r="J23" s="295" t="s">
        <v>18</v>
      </c>
      <c r="K23" s="295"/>
      <c r="L23" s="306"/>
      <c r="M23" s="25"/>
    </row>
    <row r="24" spans="1:16" ht="15" thickBot="1" x14ac:dyDescent="0.35">
      <c r="A24" s="24"/>
      <c r="B24" s="296" t="s">
        <v>1143</v>
      </c>
      <c r="C24" s="297"/>
      <c r="D24" s="311" t="s">
        <v>41</v>
      </c>
      <c r="E24" s="311"/>
      <c r="F24" s="311"/>
      <c r="G24" s="311"/>
      <c r="H24" s="307" t="s">
        <v>948</v>
      </c>
      <c r="I24" s="308"/>
      <c r="J24" s="309" t="str">
        <f>IFERROR(VLOOKUP(D22&amp;D24,prefix!A1:B5,2,FALSE),"-")</f>
        <v>S</v>
      </c>
      <c r="K24" s="309"/>
      <c r="L24" s="310"/>
      <c r="M24" s="25"/>
    </row>
    <row r="25" spans="1:16" ht="15" thickBot="1" x14ac:dyDescent="0.35">
      <c r="A25" s="28"/>
      <c r="B25" s="29"/>
      <c r="C25" s="29"/>
      <c r="D25" s="29"/>
      <c r="E25" s="29"/>
      <c r="F25" s="29"/>
      <c r="G25" s="29"/>
      <c r="H25" s="29"/>
      <c r="I25" s="29"/>
      <c r="J25" s="29"/>
      <c r="K25" s="29"/>
      <c r="L25" s="29"/>
      <c r="M25" s="30"/>
    </row>
    <row r="26" spans="1:16" x14ac:dyDescent="0.3">
      <c r="A26" s="24"/>
      <c r="B26" s="186" t="s">
        <v>1271</v>
      </c>
      <c r="C26" s="187"/>
      <c r="D26" s="188"/>
      <c r="E26" s="188"/>
      <c r="F26" s="188"/>
      <c r="G26" s="188"/>
      <c r="H26" s="188"/>
      <c r="I26" s="188"/>
      <c r="J26" s="188"/>
      <c r="K26" s="188"/>
      <c r="L26" s="189"/>
      <c r="M26" s="25"/>
    </row>
    <row r="27" spans="1:16" ht="15" customHeight="1" x14ac:dyDescent="0.3">
      <c r="A27" s="24"/>
      <c r="B27" s="200" t="s">
        <v>2</v>
      </c>
      <c r="C27" s="201"/>
      <c r="D27" s="201"/>
      <c r="E27" s="202"/>
      <c r="F27" s="203"/>
      <c r="G27" s="204"/>
      <c r="H27" s="201"/>
      <c r="I27" s="201"/>
      <c r="J27" s="205" t="s">
        <v>1283</v>
      </c>
      <c r="K27" s="201"/>
      <c r="L27" s="206"/>
      <c r="M27" s="25"/>
    </row>
    <row r="28" spans="1:16" ht="15" customHeight="1" x14ac:dyDescent="0.3">
      <c r="A28" s="24"/>
      <c r="B28" s="225" t="s">
        <v>32</v>
      </c>
      <c r="C28" s="226"/>
      <c r="D28" s="226"/>
      <c r="E28" s="226"/>
      <c r="F28" s="203"/>
      <c r="G28" s="204"/>
      <c r="H28" s="201"/>
      <c r="I28" s="201"/>
      <c r="J28" s="204" t="s">
        <v>3</v>
      </c>
      <c r="K28" s="201"/>
      <c r="L28" s="206"/>
      <c r="M28" s="25"/>
    </row>
    <row r="29" spans="1:16" x14ac:dyDescent="0.3">
      <c r="A29" s="24"/>
      <c r="B29" s="225" t="s">
        <v>1262</v>
      </c>
      <c r="C29" s="226"/>
      <c r="D29" s="226"/>
      <c r="E29" s="226"/>
      <c r="F29" s="203"/>
      <c r="G29" s="204"/>
      <c r="H29" s="201"/>
      <c r="I29" s="201"/>
      <c r="J29" s="205" t="s">
        <v>0</v>
      </c>
      <c r="K29" s="201"/>
      <c r="L29" s="206"/>
      <c r="M29" s="25"/>
      <c r="P29"/>
    </row>
    <row r="30" spans="1:16" x14ac:dyDescent="0.3">
      <c r="A30" s="24"/>
      <c r="B30" s="225" t="s">
        <v>899</v>
      </c>
      <c r="C30" s="226"/>
      <c r="D30" s="226"/>
      <c r="E30" s="226"/>
      <c r="F30" s="203"/>
      <c r="G30" s="204"/>
      <c r="H30" s="201"/>
      <c r="I30" s="201"/>
      <c r="J30" s="205" t="s">
        <v>1</v>
      </c>
      <c r="K30" s="227"/>
      <c r="L30" s="228"/>
      <c r="M30" s="25"/>
    </row>
    <row r="31" spans="1:16" x14ac:dyDescent="0.3">
      <c r="A31" s="24"/>
      <c r="B31" s="225" t="s">
        <v>1254</v>
      </c>
      <c r="C31" s="226"/>
      <c r="D31" s="226"/>
      <c r="E31" s="226"/>
      <c r="F31" s="203"/>
      <c r="G31" s="204"/>
      <c r="H31" s="201"/>
      <c r="I31" s="201"/>
      <c r="J31" s="207" t="s">
        <v>1255</v>
      </c>
      <c r="K31" s="455" t="s">
        <v>1295</v>
      </c>
      <c r="L31" s="228"/>
      <c r="M31" s="25"/>
    </row>
    <row r="32" spans="1:16" x14ac:dyDescent="0.3">
      <c r="A32" s="24"/>
      <c r="B32" s="225" t="s">
        <v>1264</v>
      </c>
      <c r="C32" s="226"/>
      <c r="D32" s="226"/>
      <c r="E32" s="226"/>
      <c r="F32" s="208"/>
      <c r="G32" s="208"/>
      <c r="H32" s="208"/>
      <c r="I32" s="208"/>
      <c r="J32" s="205" t="s">
        <v>1263</v>
      </c>
      <c r="K32" s="229"/>
      <c r="L32" s="230"/>
      <c r="M32" s="25"/>
    </row>
    <row r="33" spans="1:13" ht="15" customHeight="1" thickBot="1" x14ac:dyDescent="0.35">
      <c r="A33" s="24"/>
      <c r="B33" s="251" t="s">
        <v>1268</v>
      </c>
      <c r="C33" s="252"/>
      <c r="D33" s="252"/>
      <c r="E33" s="252"/>
      <c r="F33" s="252"/>
      <c r="G33" s="252"/>
      <c r="H33" s="252"/>
      <c r="I33" s="252"/>
      <c r="J33" s="252"/>
      <c r="K33" s="252"/>
      <c r="L33" s="253"/>
      <c r="M33" s="25"/>
    </row>
    <row r="34" spans="1:13" ht="15" customHeight="1" x14ac:dyDescent="0.3">
      <c r="A34" s="24"/>
      <c r="B34" s="32"/>
      <c r="C34" s="32"/>
      <c r="D34" s="32"/>
      <c r="E34" s="32"/>
      <c r="F34" s="32"/>
      <c r="G34" s="32"/>
      <c r="H34" s="32"/>
      <c r="I34" s="32"/>
      <c r="J34" s="32"/>
      <c r="K34" s="32"/>
      <c r="L34" s="32"/>
      <c r="M34" s="25"/>
    </row>
    <row r="35" spans="1:13" ht="15" customHeight="1" thickBot="1" x14ac:dyDescent="0.35">
      <c r="A35" s="24"/>
      <c r="B35" s="32"/>
      <c r="C35" s="32"/>
      <c r="D35" s="32"/>
      <c r="E35" s="32"/>
      <c r="F35" s="32"/>
      <c r="G35" s="32"/>
      <c r="H35" s="32"/>
      <c r="I35" s="32"/>
      <c r="J35" s="32"/>
      <c r="K35" s="32"/>
      <c r="L35" s="32"/>
      <c r="M35" s="25"/>
    </row>
    <row r="36" spans="1:13" ht="15" customHeight="1" x14ac:dyDescent="0.3">
      <c r="A36" s="24"/>
      <c r="C36" s="240" t="s">
        <v>1270</v>
      </c>
      <c r="D36" s="241"/>
      <c r="E36" s="241"/>
      <c r="F36" s="241"/>
      <c r="G36" s="241"/>
      <c r="H36" s="241"/>
      <c r="I36" s="241"/>
      <c r="J36" s="241"/>
      <c r="K36" s="242"/>
      <c r="L36" s="33"/>
      <c r="M36" s="25"/>
    </row>
    <row r="37" spans="1:13" x14ac:dyDescent="0.3">
      <c r="A37" s="24"/>
      <c r="B37" s="33"/>
      <c r="C37" s="243"/>
      <c r="D37" s="244"/>
      <c r="E37" s="244"/>
      <c r="F37" s="244"/>
      <c r="G37" s="244"/>
      <c r="H37" s="244"/>
      <c r="I37" s="244"/>
      <c r="J37" s="244"/>
      <c r="K37" s="245"/>
      <c r="L37" s="33"/>
      <c r="M37" s="25"/>
    </row>
    <row r="38" spans="1:13" x14ac:dyDescent="0.3">
      <c r="A38" s="24"/>
      <c r="B38" s="33"/>
      <c r="C38" s="243"/>
      <c r="D38" s="244"/>
      <c r="E38" s="244"/>
      <c r="F38" s="244"/>
      <c r="G38" s="244"/>
      <c r="H38" s="244"/>
      <c r="I38" s="244"/>
      <c r="J38" s="244"/>
      <c r="K38" s="245"/>
      <c r="L38" s="33"/>
      <c r="M38" s="25"/>
    </row>
    <row r="39" spans="1:13" ht="15" thickBot="1" x14ac:dyDescent="0.35">
      <c r="A39" s="24"/>
      <c r="B39" s="31"/>
      <c r="C39" s="246"/>
      <c r="D39" s="247"/>
      <c r="E39" s="247"/>
      <c r="F39" s="247"/>
      <c r="G39" s="247"/>
      <c r="H39" s="247"/>
      <c r="I39" s="247"/>
      <c r="J39" s="247"/>
      <c r="K39" s="248"/>
      <c r="L39" s="31"/>
      <c r="M39" s="25"/>
    </row>
    <row r="40" spans="1:13" x14ac:dyDescent="0.3">
      <c r="A40" s="24"/>
      <c r="B40" s="31"/>
      <c r="C40" s="34"/>
      <c r="D40" s="34"/>
      <c r="E40" s="34"/>
      <c r="F40" s="34"/>
      <c r="G40" s="34"/>
      <c r="H40" s="34"/>
      <c r="I40" s="34"/>
      <c r="J40" s="34"/>
      <c r="K40" s="34"/>
      <c r="L40" s="31"/>
      <c r="M40" s="25"/>
    </row>
    <row r="41" spans="1:13" x14ac:dyDescent="0.3">
      <c r="A41" s="24"/>
      <c r="B41" s="35"/>
      <c r="C41" s="31"/>
      <c r="D41" s="31"/>
      <c r="E41" s="31"/>
      <c r="F41" s="31"/>
      <c r="G41" s="31"/>
      <c r="H41" s="31"/>
      <c r="I41" s="31"/>
      <c r="J41" s="31"/>
      <c r="K41" s="31"/>
      <c r="L41" s="31"/>
      <c r="M41" s="25"/>
    </row>
    <row r="42" spans="1:13" x14ac:dyDescent="0.3">
      <c r="A42" s="36"/>
      <c r="B42" s="37"/>
      <c r="C42" s="37"/>
      <c r="D42" s="37"/>
      <c r="E42" s="37"/>
      <c r="F42" s="37"/>
      <c r="G42" s="37"/>
      <c r="H42" s="37"/>
      <c r="I42" s="37"/>
      <c r="J42" s="37"/>
      <c r="K42" s="37"/>
      <c r="L42" s="37"/>
      <c r="M42" s="38"/>
    </row>
  </sheetData>
  <mergeCells count="44">
    <mergeCell ref="J23:L23"/>
    <mergeCell ref="H24:I24"/>
    <mergeCell ref="J24:L24"/>
    <mergeCell ref="D23:G23"/>
    <mergeCell ref="D24:G24"/>
    <mergeCell ref="B24:C24"/>
    <mergeCell ref="B22:C22"/>
    <mergeCell ref="H23:I23"/>
    <mergeCell ref="B23:C23"/>
    <mergeCell ref="H22:I22"/>
    <mergeCell ref="J22:L22"/>
    <mergeCell ref="E7:G7"/>
    <mergeCell ref="E8:G8"/>
    <mergeCell ref="H8:J8"/>
    <mergeCell ref="K7:L7"/>
    <mergeCell ref="H7:J7"/>
    <mergeCell ref="E9:G9"/>
    <mergeCell ref="K9:L9"/>
    <mergeCell ref="B21:L21"/>
    <mergeCell ref="D22:G22"/>
    <mergeCell ref="B2:I2"/>
    <mergeCell ref="B3:I3"/>
    <mergeCell ref="J2:L2"/>
    <mergeCell ref="J3:L3"/>
    <mergeCell ref="C36:K39"/>
    <mergeCell ref="K8:L8"/>
    <mergeCell ref="B33:L33"/>
    <mergeCell ref="B5:L5"/>
    <mergeCell ref="B11:L11"/>
    <mergeCell ref="B12:L19"/>
    <mergeCell ref="B6:D6"/>
    <mergeCell ref="B7:D7"/>
    <mergeCell ref="B8:D8"/>
    <mergeCell ref="H6:J6"/>
    <mergeCell ref="K6:L6"/>
    <mergeCell ref="E6:G6"/>
    <mergeCell ref="B32:E32"/>
    <mergeCell ref="K31:L31"/>
    <mergeCell ref="K30:L30"/>
    <mergeCell ref="B28:E28"/>
    <mergeCell ref="B29:E29"/>
    <mergeCell ref="B30:E30"/>
    <mergeCell ref="B31:E31"/>
    <mergeCell ref="K32:L32"/>
  </mergeCells>
  <conditionalFormatting sqref="O2">
    <cfRule type="cellIs" dxfId="53" priority="1" operator="equal">
      <formula>"spend plan needed"</formula>
    </cfRule>
  </conditionalFormatting>
  <dataValidations xWindow="376" yWindow="557" count="4">
    <dataValidation type="list" allowBlank="1" showInputMessage="1" showErrorMessage="1" promptTitle="Std Activities" prompt="Selections will appear only if Reimbursable is N/A, Activity Type is selected and this is a Standard Activity" sqref="J22:L22" xr:uid="{150013A7-1D2D-4D48-9CB9-0A4400F787F6}">
      <formula1>INDIRECT(SUBSTITUTE($D$22&amp;$D$23," ",""))</formula1>
    </dataValidation>
    <dataValidation type="list" showInputMessage="1" showErrorMessage="1" promptTitle="Reimbursable" prompt="Please note that a signed contract/MOA for reimbursable work is required to set up a reimbursable activity." sqref="D22:G22" xr:uid="{C113A6E7-F615-4911-A98E-A2F0807F9330}">
      <formula1>INDIRECT("Reimbursable?")</formula1>
    </dataValidation>
    <dataValidation type="list" allowBlank="1" showInputMessage="1" showErrorMessage="1" promptTitle="Activity Type" sqref="D23:G23" xr:uid="{2F487D64-0384-48DE-B184-AC64F71FC458}">
      <formula1>INDIRECT("ActivityType")</formula1>
    </dataValidation>
    <dataValidation type="textLength" operator="lessThan" allowBlank="1" showErrorMessage="1" errorTitle="Activity Description" error="This field is limited to 30 characters. Please reduce the description." promptTitle="Activity Description" prompt="Activity descriptions are limited to 30 characters." sqref="E6:G6" xr:uid="{B5299A3E-C182-4251-8B7E-466CCC0CAA4C}">
      <formula1>31</formula1>
    </dataValidation>
  </dataValidations>
  <pageMargins left="0.25" right="0.25" top="0.75" bottom="0.75" header="0.3" footer="0.3"/>
  <pageSetup scale="75" orientation="landscape" cellComments="asDisplayed" r:id="rId1"/>
  <drawing r:id="rId2"/>
  <legacyDrawing r:id="rId3"/>
  <mc:AlternateContent xmlns:mc="http://schemas.openxmlformats.org/markup-compatibility/2006">
    <mc:Choice Requires="x14">
      <controls>
        <mc:AlternateContent xmlns:mc="http://schemas.openxmlformats.org/markup-compatibility/2006">
          <mc:Choice Requires="x14">
            <control shapeId="1140" r:id="rId4" name="Check Box 116">
              <controlPr defaultSize="0" autoFill="0" autoLine="0" autoPict="0">
                <anchor moveWithCells="1">
                  <from>
                    <xdr:col>8</xdr:col>
                    <xdr:colOff>403860</xdr:colOff>
                    <xdr:row>25</xdr:row>
                    <xdr:rowOff>160020</xdr:rowOff>
                  </from>
                  <to>
                    <xdr:col>9</xdr:col>
                    <xdr:colOff>7620</xdr:colOff>
                    <xdr:row>27</xdr:row>
                    <xdr:rowOff>38100</xdr:rowOff>
                  </to>
                </anchor>
              </controlPr>
            </control>
          </mc:Choice>
        </mc:AlternateContent>
        <mc:AlternateContent xmlns:mc="http://schemas.openxmlformats.org/markup-compatibility/2006">
          <mc:Choice Requires="x14">
            <control shapeId="1171" r:id="rId5" name="Check Box 147">
              <controlPr defaultSize="0" autoFill="0" autoLine="0" autoPict="0">
                <anchor moveWithCells="1">
                  <from>
                    <xdr:col>1</xdr:col>
                    <xdr:colOff>30480</xdr:colOff>
                    <xdr:row>26</xdr:row>
                    <xdr:rowOff>152400</xdr:rowOff>
                  </from>
                  <to>
                    <xdr:col>1</xdr:col>
                    <xdr:colOff>259080</xdr:colOff>
                    <xdr:row>28</xdr:row>
                    <xdr:rowOff>30480</xdr:rowOff>
                  </to>
                </anchor>
              </controlPr>
            </control>
          </mc:Choice>
        </mc:AlternateContent>
        <mc:AlternateContent xmlns:mc="http://schemas.openxmlformats.org/markup-compatibility/2006">
          <mc:Choice Requires="x14">
            <control shapeId="1172" r:id="rId6" name="Check Box 148">
              <controlPr defaultSize="0" autoFill="0" autoLine="0" autoPict="0">
                <anchor moveWithCells="1">
                  <from>
                    <xdr:col>1</xdr:col>
                    <xdr:colOff>30480</xdr:colOff>
                    <xdr:row>28</xdr:row>
                    <xdr:rowOff>144780</xdr:rowOff>
                  </from>
                  <to>
                    <xdr:col>1</xdr:col>
                    <xdr:colOff>259080</xdr:colOff>
                    <xdr:row>30</xdr:row>
                    <xdr:rowOff>22860</xdr:rowOff>
                  </to>
                </anchor>
              </controlPr>
            </control>
          </mc:Choice>
        </mc:AlternateContent>
        <mc:AlternateContent xmlns:mc="http://schemas.openxmlformats.org/markup-compatibility/2006">
          <mc:Choice Requires="x14">
            <control shapeId="1173" r:id="rId7" name="Check Box 149">
              <controlPr defaultSize="0" autoFill="0" autoLine="0" autoPict="0">
                <anchor moveWithCells="1">
                  <from>
                    <xdr:col>1</xdr:col>
                    <xdr:colOff>30480</xdr:colOff>
                    <xdr:row>29</xdr:row>
                    <xdr:rowOff>152400</xdr:rowOff>
                  </from>
                  <to>
                    <xdr:col>1</xdr:col>
                    <xdr:colOff>259080</xdr:colOff>
                    <xdr:row>31</xdr:row>
                    <xdr:rowOff>30480</xdr:rowOff>
                  </to>
                </anchor>
              </controlPr>
            </control>
          </mc:Choice>
        </mc:AlternateContent>
        <mc:AlternateContent xmlns:mc="http://schemas.openxmlformats.org/markup-compatibility/2006">
          <mc:Choice Requires="x14">
            <control shapeId="1186" r:id="rId8" name="Check Box 162">
              <controlPr defaultSize="0" autoFill="0" autoLine="0" autoPict="0">
                <anchor moveWithCells="1">
                  <from>
                    <xdr:col>8</xdr:col>
                    <xdr:colOff>403860</xdr:colOff>
                    <xdr:row>26</xdr:row>
                    <xdr:rowOff>160020</xdr:rowOff>
                  </from>
                  <to>
                    <xdr:col>9</xdr:col>
                    <xdr:colOff>7620</xdr:colOff>
                    <xdr:row>28</xdr:row>
                    <xdr:rowOff>38100</xdr:rowOff>
                  </to>
                </anchor>
              </controlPr>
            </control>
          </mc:Choice>
        </mc:AlternateContent>
        <mc:AlternateContent xmlns:mc="http://schemas.openxmlformats.org/markup-compatibility/2006">
          <mc:Choice Requires="x14">
            <control shapeId="1187" r:id="rId9" name="Check Box 163">
              <controlPr defaultSize="0" autoFill="0" autoLine="0" autoPict="0">
                <anchor moveWithCells="1">
                  <from>
                    <xdr:col>8</xdr:col>
                    <xdr:colOff>403860</xdr:colOff>
                    <xdr:row>28</xdr:row>
                    <xdr:rowOff>160020</xdr:rowOff>
                  </from>
                  <to>
                    <xdr:col>9</xdr:col>
                    <xdr:colOff>7620</xdr:colOff>
                    <xdr:row>30</xdr:row>
                    <xdr:rowOff>38100</xdr:rowOff>
                  </to>
                </anchor>
              </controlPr>
            </control>
          </mc:Choice>
        </mc:AlternateContent>
        <mc:AlternateContent xmlns:mc="http://schemas.openxmlformats.org/markup-compatibility/2006">
          <mc:Choice Requires="x14">
            <control shapeId="1188" r:id="rId10" name="Check Box 164">
              <controlPr defaultSize="0" autoFill="0" autoLine="0" autoPict="0">
                <anchor moveWithCells="1">
                  <from>
                    <xdr:col>8</xdr:col>
                    <xdr:colOff>403860</xdr:colOff>
                    <xdr:row>29</xdr:row>
                    <xdr:rowOff>160020</xdr:rowOff>
                  </from>
                  <to>
                    <xdr:col>9</xdr:col>
                    <xdr:colOff>7620</xdr:colOff>
                    <xdr:row>31</xdr:row>
                    <xdr:rowOff>38100</xdr:rowOff>
                  </to>
                </anchor>
              </controlPr>
            </control>
          </mc:Choice>
        </mc:AlternateContent>
        <mc:AlternateContent xmlns:mc="http://schemas.openxmlformats.org/markup-compatibility/2006">
          <mc:Choice Requires="x14">
            <control shapeId="1189" r:id="rId11" name="Check Box 165">
              <controlPr defaultSize="0" autoFill="0" autoLine="0" autoPict="0">
                <anchor moveWithCells="1">
                  <from>
                    <xdr:col>8</xdr:col>
                    <xdr:colOff>403860</xdr:colOff>
                    <xdr:row>30</xdr:row>
                    <xdr:rowOff>160020</xdr:rowOff>
                  </from>
                  <to>
                    <xdr:col>9</xdr:col>
                    <xdr:colOff>7620</xdr:colOff>
                    <xdr:row>32</xdr:row>
                    <xdr:rowOff>38100</xdr:rowOff>
                  </to>
                </anchor>
              </controlPr>
            </control>
          </mc:Choice>
        </mc:AlternateContent>
        <mc:AlternateContent xmlns:mc="http://schemas.openxmlformats.org/markup-compatibility/2006">
          <mc:Choice Requires="x14">
            <control shapeId="1194" r:id="rId12" name="Check Box 170">
              <controlPr defaultSize="0" autoFill="0" autoLine="0" autoPict="0">
                <anchor moveWithCells="1">
                  <from>
                    <xdr:col>1</xdr:col>
                    <xdr:colOff>30480</xdr:colOff>
                    <xdr:row>25</xdr:row>
                    <xdr:rowOff>152400</xdr:rowOff>
                  </from>
                  <to>
                    <xdr:col>1</xdr:col>
                    <xdr:colOff>259080</xdr:colOff>
                    <xdr:row>27</xdr:row>
                    <xdr:rowOff>30480</xdr:rowOff>
                  </to>
                </anchor>
              </controlPr>
            </control>
          </mc:Choice>
        </mc:AlternateContent>
        <mc:AlternateContent xmlns:mc="http://schemas.openxmlformats.org/markup-compatibility/2006">
          <mc:Choice Requires="x14">
            <control shapeId="1205" r:id="rId13" name="Check Box 181">
              <controlPr defaultSize="0" autoFill="0" autoLine="0" autoPict="0">
                <anchor moveWithCells="1">
                  <from>
                    <xdr:col>8</xdr:col>
                    <xdr:colOff>403860</xdr:colOff>
                    <xdr:row>29</xdr:row>
                    <xdr:rowOff>160020</xdr:rowOff>
                  </from>
                  <to>
                    <xdr:col>9</xdr:col>
                    <xdr:colOff>7620</xdr:colOff>
                    <xdr:row>31</xdr:row>
                    <xdr:rowOff>38100</xdr:rowOff>
                  </to>
                </anchor>
              </controlPr>
            </control>
          </mc:Choice>
        </mc:AlternateContent>
        <mc:AlternateContent xmlns:mc="http://schemas.openxmlformats.org/markup-compatibility/2006">
          <mc:Choice Requires="x14">
            <control shapeId="1206" r:id="rId14" name="Check Box 182">
              <controlPr defaultSize="0" autoFill="0" autoLine="0" autoPict="0">
                <anchor moveWithCells="1">
                  <from>
                    <xdr:col>8</xdr:col>
                    <xdr:colOff>403860</xdr:colOff>
                    <xdr:row>30</xdr:row>
                    <xdr:rowOff>160020</xdr:rowOff>
                  </from>
                  <to>
                    <xdr:col>9</xdr:col>
                    <xdr:colOff>7620</xdr:colOff>
                    <xdr:row>32</xdr:row>
                    <xdr:rowOff>38100</xdr:rowOff>
                  </to>
                </anchor>
              </controlPr>
            </control>
          </mc:Choice>
        </mc:AlternateContent>
        <mc:AlternateContent xmlns:mc="http://schemas.openxmlformats.org/markup-compatibility/2006">
          <mc:Choice Requires="x14">
            <control shapeId="1212" r:id="rId15" name="Check Box 188">
              <controlPr defaultSize="0" autoFill="0" autoLine="0" autoPict="0">
                <anchor moveWithCells="1">
                  <from>
                    <xdr:col>8</xdr:col>
                    <xdr:colOff>403860</xdr:colOff>
                    <xdr:row>26</xdr:row>
                    <xdr:rowOff>160020</xdr:rowOff>
                  </from>
                  <to>
                    <xdr:col>9</xdr:col>
                    <xdr:colOff>7620</xdr:colOff>
                    <xdr:row>28</xdr:row>
                    <xdr:rowOff>38100</xdr:rowOff>
                  </to>
                </anchor>
              </controlPr>
            </control>
          </mc:Choice>
        </mc:AlternateContent>
        <mc:AlternateContent xmlns:mc="http://schemas.openxmlformats.org/markup-compatibility/2006">
          <mc:Choice Requires="x14">
            <control shapeId="1220" r:id="rId16" name="Check Box 196">
              <controlPr defaultSize="0" autoFill="0" autoLine="0" autoPict="0">
                <anchor moveWithCells="1">
                  <from>
                    <xdr:col>8</xdr:col>
                    <xdr:colOff>403860</xdr:colOff>
                    <xdr:row>26</xdr:row>
                    <xdr:rowOff>160020</xdr:rowOff>
                  </from>
                  <to>
                    <xdr:col>9</xdr:col>
                    <xdr:colOff>7620</xdr:colOff>
                    <xdr:row>28</xdr:row>
                    <xdr:rowOff>38100</xdr:rowOff>
                  </to>
                </anchor>
              </controlPr>
            </control>
          </mc:Choice>
        </mc:AlternateContent>
        <mc:AlternateContent xmlns:mc="http://schemas.openxmlformats.org/markup-compatibility/2006">
          <mc:Choice Requires="x14">
            <control shapeId="1221" r:id="rId17" name="Check Box 197">
              <controlPr defaultSize="0" autoFill="0" autoLine="0" autoPict="0">
                <anchor moveWithCells="1">
                  <from>
                    <xdr:col>8</xdr:col>
                    <xdr:colOff>403860</xdr:colOff>
                    <xdr:row>27</xdr:row>
                    <xdr:rowOff>160020</xdr:rowOff>
                  </from>
                  <to>
                    <xdr:col>9</xdr:col>
                    <xdr:colOff>7620</xdr:colOff>
                    <xdr:row>29</xdr:row>
                    <xdr:rowOff>38100</xdr:rowOff>
                  </to>
                </anchor>
              </controlPr>
            </control>
          </mc:Choice>
        </mc:AlternateContent>
        <mc:AlternateContent xmlns:mc="http://schemas.openxmlformats.org/markup-compatibility/2006">
          <mc:Choice Requires="x14">
            <control shapeId="1222" r:id="rId18" name="Check Box 198">
              <controlPr defaultSize="0" autoFill="0" autoLine="0" autoPict="0">
                <anchor moveWithCells="1">
                  <from>
                    <xdr:col>8</xdr:col>
                    <xdr:colOff>403860</xdr:colOff>
                    <xdr:row>27</xdr:row>
                    <xdr:rowOff>160020</xdr:rowOff>
                  </from>
                  <to>
                    <xdr:col>9</xdr:col>
                    <xdr:colOff>7620</xdr:colOff>
                    <xdr:row>29</xdr:row>
                    <xdr:rowOff>38100</xdr:rowOff>
                  </to>
                </anchor>
              </controlPr>
            </control>
          </mc:Choice>
        </mc:AlternateContent>
        <mc:AlternateContent xmlns:mc="http://schemas.openxmlformats.org/markup-compatibility/2006">
          <mc:Choice Requires="x14">
            <control shapeId="1223" r:id="rId19" name="Check Box 199">
              <controlPr defaultSize="0" autoFill="0" autoLine="0" autoPict="0">
                <anchor moveWithCells="1">
                  <from>
                    <xdr:col>8</xdr:col>
                    <xdr:colOff>403860</xdr:colOff>
                    <xdr:row>27</xdr:row>
                    <xdr:rowOff>160020</xdr:rowOff>
                  </from>
                  <to>
                    <xdr:col>9</xdr:col>
                    <xdr:colOff>7620</xdr:colOff>
                    <xdr:row>29</xdr:row>
                    <xdr:rowOff>38100</xdr:rowOff>
                  </to>
                </anchor>
              </controlPr>
            </control>
          </mc:Choice>
        </mc:AlternateContent>
        <mc:AlternateContent xmlns:mc="http://schemas.openxmlformats.org/markup-compatibility/2006">
          <mc:Choice Requires="x14">
            <control shapeId="1225" r:id="rId20" name="Check Box 201">
              <controlPr defaultSize="0" autoFill="0" autoLine="0" autoPict="0">
                <anchor moveWithCells="1">
                  <from>
                    <xdr:col>1</xdr:col>
                    <xdr:colOff>30480</xdr:colOff>
                    <xdr:row>27</xdr:row>
                    <xdr:rowOff>144780</xdr:rowOff>
                  </from>
                  <to>
                    <xdr:col>1</xdr:col>
                    <xdr:colOff>259080</xdr:colOff>
                    <xdr:row>29</xdr:row>
                    <xdr:rowOff>22860</xdr:rowOff>
                  </to>
                </anchor>
              </controlPr>
            </control>
          </mc:Choice>
        </mc:AlternateContent>
        <mc:AlternateContent xmlns:mc="http://schemas.openxmlformats.org/markup-compatibility/2006">
          <mc:Choice Requires="x14">
            <control shapeId="1242" r:id="rId21" name="Check Box 218">
              <controlPr defaultSize="0" autoFill="0" autoLine="0" autoPict="0">
                <anchor moveWithCells="1">
                  <from>
                    <xdr:col>1</xdr:col>
                    <xdr:colOff>30480</xdr:colOff>
                    <xdr:row>30</xdr:row>
                    <xdr:rowOff>152400</xdr:rowOff>
                  </from>
                  <to>
                    <xdr:col>1</xdr:col>
                    <xdr:colOff>259080</xdr:colOff>
                    <xdr:row>32</xdr:row>
                    <xdr:rowOff>30480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xWindow="376" yWindow="557" count="5">
        <x14:dataValidation type="list" allowBlank="1" showInputMessage="1" showErrorMessage="1" promptTitle="Reimbursable" prompt="Select Unique for Reimbursable projects" xr:uid="{8DDF0863-55A9-42CF-AA94-02F6D953B5D2}">
          <x14:formula1>
            <xm:f>PullDowns!$N$2:$N$3</xm:f>
          </x14:formula1>
          <xm:sqref>D24:G24</xm:sqref>
        </x14:dataValidation>
        <x14:dataValidation type="list" allowBlank="1" showInputMessage="1" showErrorMessage="1" promptTitle="Activity Type" xr:uid="{F2901698-A0EC-491D-8ED9-0DCE2A935C4C}">
          <x14:formula1>
            <xm:f>PullDowns!$N$2:$N$3</xm:f>
          </x14:formula1>
          <xm:sqref>D24:G24</xm:sqref>
        </x14:dataValidation>
        <x14:dataValidation type="list" allowBlank="1" showInputMessage="1" showErrorMessage="1" xr:uid="{9631D112-8126-4B08-8301-BF350D7CD1E9}">
          <x14:formula1>
            <xm:f>PullDowns!$E$2:$E$3</xm:f>
          </x14:formula1>
          <xm:sqref>K8 K10</xm:sqref>
        </x14:dataValidation>
        <x14:dataValidation type="list" allowBlank="1" showInputMessage="1" showErrorMessage="1" xr:uid="{0432F0E2-695B-4D57-9E9A-123B51DFFCD2}">
          <x14:formula1>
            <xm:f>PullDowns!$S$2:$S$3</xm:f>
          </x14:formula1>
          <xm:sqref>E9:G9</xm:sqref>
        </x14:dataValidation>
        <x14:dataValidation type="list" allowBlank="1" showInputMessage="1" showErrorMessage="1" promptTitle="Labor Charges Ok?" prompt="If &quot;NO&quot; project status will be changed to &quot;N&quot; and HRIS will not process timecards for this project. " xr:uid="{E2A9DE8E-1F57-43EB-B7B7-306753A93F50}">
          <x14:formula1>
            <xm:f>OFFSET(PullDowns!$D$2,0,0,COUNTA(PullDowns!$D:$D)-1)</xm:f>
          </x14:formula1>
          <xm:sqref>J23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S37"/>
  <sheetViews>
    <sheetView topLeftCell="A3" zoomScaleNormal="100" workbookViewId="0"/>
  </sheetViews>
  <sheetFormatPr defaultColWidth="9.33203125" defaultRowHeight="14.4" x14ac:dyDescent="0.3"/>
  <cols>
    <col min="1" max="1" width="2.33203125" style="42" customWidth="1"/>
    <col min="2" max="2" width="14.109375" style="42" customWidth="1"/>
    <col min="3" max="3" width="10.6640625" style="42" customWidth="1"/>
    <col min="4" max="4" width="9.33203125" style="42"/>
    <col min="5" max="5" width="13.5546875" style="42" customWidth="1"/>
    <col min="6" max="7" width="7.33203125" style="42" customWidth="1"/>
    <col min="8" max="8" width="23.5546875" style="42" customWidth="1"/>
    <col min="9" max="9" width="9.33203125" style="42"/>
    <col min="10" max="10" width="13.6640625" style="42" customWidth="1"/>
    <col min="11" max="12" width="9.33203125" style="42"/>
    <col min="13" max="13" width="2.33203125" style="42" customWidth="1"/>
    <col min="14" max="16384" width="9.33203125" style="42"/>
  </cols>
  <sheetData>
    <row r="1" spans="1:16" ht="15" thickBot="1" x14ac:dyDescent="0.35">
      <c r="A1" s="39"/>
      <c r="B1" s="40"/>
      <c r="C1" s="40"/>
      <c r="D1" s="40"/>
      <c r="E1" s="40"/>
      <c r="F1" s="40"/>
      <c r="G1" s="40"/>
      <c r="H1" s="40"/>
      <c r="I1" s="40"/>
      <c r="J1" s="40"/>
      <c r="K1" s="40"/>
      <c r="L1" s="40"/>
      <c r="M1" s="41"/>
    </row>
    <row r="2" spans="1:16" ht="23.4" x14ac:dyDescent="0.45">
      <c r="A2" s="43"/>
      <c r="B2" s="231" t="s">
        <v>23</v>
      </c>
      <c r="C2" s="232"/>
      <c r="D2" s="232"/>
      <c r="E2" s="232"/>
      <c r="F2" s="232"/>
      <c r="G2" s="232"/>
      <c r="H2" s="232"/>
      <c r="I2" s="235" t="s">
        <v>1233</v>
      </c>
      <c r="J2" s="235"/>
      <c r="K2" s="235"/>
      <c r="L2" s="169"/>
      <c r="M2" s="44"/>
    </row>
    <row r="3" spans="1:16" ht="18.600000000000001" thickBot="1" x14ac:dyDescent="0.4">
      <c r="A3" s="43"/>
      <c r="B3" s="233" t="s">
        <v>1252</v>
      </c>
      <c r="C3" s="234"/>
      <c r="D3" s="234"/>
      <c r="E3" s="234"/>
      <c r="F3" s="234"/>
      <c r="G3" s="234"/>
      <c r="H3" s="234"/>
      <c r="I3" s="237"/>
      <c r="J3" s="238"/>
      <c r="K3" s="238"/>
      <c r="L3" s="239"/>
      <c r="M3" s="44"/>
    </row>
    <row r="4" spans="1:16" ht="15" thickBot="1" x14ac:dyDescent="0.35">
      <c r="A4" s="43"/>
      <c r="B4" s="314" t="s">
        <v>4</v>
      </c>
      <c r="C4" s="315"/>
      <c r="D4" s="315"/>
      <c r="E4" s="315"/>
      <c r="F4" s="315"/>
      <c r="G4" s="315"/>
      <c r="H4" s="315"/>
      <c r="I4" s="315"/>
      <c r="J4" s="315"/>
      <c r="K4" s="315"/>
      <c r="L4" s="315"/>
      <c r="M4" s="44"/>
    </row>
    <row r="5" spans="1:16" x14ac:dyDescent="0.3">
      <c r="A5" s="43"/>
      <c r="B5" s="316" t="s">
        <v>945</v>
      </c>
      <c r="C5" s="317"/>
      <c r="D5" s="317"/>
      <c r="E5" s="318" t="str">
        <f>'POM  Section'!E6:G6</f>
        <v>21st Ave S - Bayview to Walker</v>
      </c>
      <c r="F5" s="319"/>
      <c r="G5" s="320"/>
      <c r="H5" s="321" t="s">
        <v>944</v>
      </c>
      <c r="I5" s="317"/>
      <c r="J5" s="317"/>
      <c r="K5" s="322">
        <f>'POM  Section'!K6:L6</f>
        <v>20000</v>
      </c>
      <c r="L5" s="323"/>
      <c r="M5" s="44"/>
    </row>
    <row r="6" spans="1:16" x14ac:dyDescent="0.3">
      <c r="A6" s="43"/>
      <c r="B6" s="324" t="s">
        <v>947</v>
      </c>
      <c r="C6" s="325"/>
      <c r="D6" s="325"/>
      <c r="E6" s="326" t="str">
        <f>'POM  Section'!E7:G7</f>
        <v>TRC0338</v>
      </c>
      <c r="F6" s="327"/>
      <c r="G6" s="328"/>
      <c r="H6" s="340" t="s">
        <v>1099</v>
      </c>
      <c r="I6" s="340"/>
      <c r="J6" s="341"/>
      <c r="K6" s="333">
        <f>'POM  Section'!K7:L7</f>
        <v>350000</v>
      </c>
      <c r="L6" s="334"/>
      <c r="M6" s="44"/>
    </row>
    <row r="7" spans="1:16" ht="15" thickBot="1" x14ac:dyDescent="0.35">
      <c r="A7" s="43"/>
      <c r="B7" s="329" t="s">
        <v>942</v>
      </c>
      <c r="C7" s="330"/>
      <c r="D7" s="330"/>
      <c r="E7" s="331" t="str">
        <f>'POM  Section'!E8:G8</f>
        <v>Low Cost Sidewalks</v>
      </c>
      <c r="F7" s="331"/>
      <c r="G7" s="332"/>
      <c r="H7" s="357" t="s">
        <v>941</v>
      </c>
      <c r="I7" s="358"/>
      <c r="J7" s="358"/>
      <c r="K7" s="355" t="str">
        <f>'POM  Section'!K8</f>
        <v>Yes</v>
      </c>
      <c r="L7" s="356"/>
      <c r="M7" s="44"/>
    </row>
    <row r="8" spans="1:16" x14ac:dyDescent="0.3">
      <c r="A8" s="43"/>
      <c r="B8" s="45"/>
      <c r="C8" s="46"/>
      <c r="D8" s="47"/>
      <c r="E8" s="47"/>
      <c r="F8" s="47"/>
      <c r="G8" s="47"/>
      <c r="H8" s="47"/>
      <c r="I8" s="47"/>
      <c r="J8" s="47"/>
      <c r="K8" s="47"/>
      <c r="L8" s="47"/>
      <c r="M8" s="44"/>
    </row>
    <row r="9" spans="1:16" ht="15" thickBot="1" x14ac:dyDescent="0.35">
      <c r="A9" s="43"/>
      <c r="B9" s="315" t="s">
        <v>13</v>
      </c>
      <c r="C9" s="315"/>
      <c r="D9" s="315"/>
      <c r="E9" s="315"/>
      <c r="F9" s="315"/>
      <c r="G9" s="315"/>
      <c r="H9" s="315"/>
      <c r="I9" s="315"/>
      <c r="J9" s="315"/>
      <c r="K9" s="315"/>
      <c r="L9" s="315"/>
      <c r="M9" s="44"/>
      <c r="P9"/>
    </row>
    <row r="10" spans="1:16" x14ac:dyDescent="0.3">
      <c r="A10" s="43"/>
      <c r="B10" s="51"/>
      <c r="C10" s="52"/>
      <c r="D10" s="52"/>
      <c r="E10" s="52"/>
      <c r="F10" s="52"/>
      <c r="G10" s="52"/>
      <c r="H10" s="52"/>
      <c r="I10" s="52"/>
      <c r="J10" s="52"/>
      <c r="K10" s="52"/>
      <c r="L10" s="53"/>
      <c r="M10" s="44"/>
    </row>
    <row r="11" spans="1:16" x14ac:dyDescent="0.3">
      <c r="A11" s="43"/>
      <c r="B11" s="346" t="s">
        <v>1229</v>
      </c>
      <c r="C11" s="347"/>
      <c r="D11" s="347"/>
      <c r="E11" s="347"/>
      <c r="F11" s="347"/>
      <c r="G11" s="347"/>
      <c r="H11" s="60" t="s">
        <v>1230</v>
      </c>
      <c r="I11" s="348"/>
      <c r="J11" s="349"/>
      <c r="K11" s="349"/>
      <c r="L11" s="350"/>
      <c r="M11" s="44"/>
    </row>
    <row r="12" spans="1:16" x14ac:dyDescent="0.3">
      <c r="A12" s="43"/>
      <c r="B12" s="157"/>
      <c r="C12" s="79"/>
      <c r="D12" s="79"/>
      <c r="E12" s="79"/>
      <c r="F12" s="79"/>
      <c r="G12" s="79"/>
      <c r="H12" s="79"/>
      <c r="I12" s="79"/>
      <c r="J12" s="79"/>
      <c r="K12" s="79"/>
      <c r="L12" s="158"/>
      <c r="M12" s="44"/>
    </row>
    <row r="13" spans="1:16" x14ac:dyDescent="0.3">
      <c r="A13" s="43"/>
      <c r="B13" s="54" t="s">
        <v>943</v>
      </c>
      <c r="C13" s="55"/>
      <c r="D13" s="55"/>
      <c r="E13" s="18"/>
      <c r="F13" s="18"/>
      <c r="G13" s="19"/>
      <c r="H13" s="18"/>
      <c r="I13" s="55"/>
      <c r="J13" s="55"/>
      <c r="K13" s="55"/>
      <c r="L13" s="57"/>
      <c r="M13" s="44"/>
    </row>
    <row r="14" spans="1:16" x14ac:dyDescent="0.3">
      <c r="A14" s="43"/>
      <c r="B14" s="58"/>
      <c r="C14" s="56"/>
      <c r="D14" s="59" t="s">
        <v>1135</v>
      </c>
      <c r="F14" s="56"/>
      <c r="H14" s="56"/>
      <c r="I14" s="359"/>
      <c r="J14" s="360"/>
      <c r="K14" s="360"/>
      <c r="L14" s="361"/>
      <c r="M14" s="44"/>
    </row>
    <row r="15" spans="1:16" x14ac:dyDescent="0.3">
      <c r="A15" s="43"/>
      <c r="B15" s="61"/>
      <c r="C15" s="48"/>
      <c r="D15" s="59" t="s">
        <v>6</v>
      </c>
      <c r="E15" s="56"/>
      <c r="F15" s="56"/>
      <c r="G15" s="48"/>
      <c r="H15" s="56"/>
      <c r="I15" s="56"/>
      <c r="J15" s="56"/>
      <c r="K15" s="56"/>
      <c r="L15" s="57"/>
      <c r="M15" s="44"/>
    </row>
    <row r="16" spans="1:16" x14ac:dyDescent="0.3">
      <c r="A16" s="43"/>
      <c r="B16" s="61"/>
      <c r="C16" s="48"/>
      <c r="E16" s="56"/>
      <c r="F16" s="56"/>
      <c r="H16" s="56"/>
      <c r="I16" s="56"/>
      <c r="J16" s="56"/>
      <c r="K16" s="56"/>
      <c r="L16" s="57"/>
      <c r="M16" s="44"/>
      <c r="O16" t="s">
        <v>16</v>
      </c>
    </row>
    <row r="17" spans="1:19" x14ac:dyDescent="0.3">
      <c r="A17" s="43"/>
      <c r="B17" s="351" t="s">
        <v>906</v>
      </c>
      <c r="C17" s="352"/>
      <c r="D17" s="62" t="s">
        <v>1101</v>
      </c>
      <c r="F17" s="362"/>
      <c r="G17" s="354"/>
      <c r="H17" s="63" t="s">
        <v>1102</v>
      </c>
      <c r="I17" s="343"/>
      <c r="J17" s="344"/>
      <c r="K17" s="48"/>
      <c r="L17" s="57"/>
      <c r="M17" s="44"/>
    </row>
    <row r="18" spans="1:19" x14ac:dyDescent="0.3">
      <c r="A18" s="43"/>
      <c r="B18" s="64"/>
      <c r="C18" s="65" t="s">
        <v>9</v>
      </c>
      <c r="D18" s="335" t="s">
        <v>7</v>
      </c>
      <c r="E18" s="335"/>
      <c r="F18" s="335"/>
      <c r="G18" s="65" t="s">
        <v>8</v>
      </c>
      <c r="H18" s="65"/>
      <c r="I18" s="65" t="s">
        <v>10</v>
      </c>
      <c r="J18" s="65" t="s">
        <v>907</v>
      </c>
      <c r="K18" s="48"/>
      <c r="L18" s="57"/>
      <c r="M18" s="44"/>
    </row>
    <row r="19" spans="1:19" x14ac:dyDescent="0.3">
      <c r="A19" s="43"/>
      <c r="B19" s="336"/>
      <c r="C19" s="66">
        <v>1</v>
      </c>
      <c r="D19" s="337"/>
      <c r="E19" s="338"/>
      <c r="F19" s="339"/>
      <c r="G19" s="312"/>
      <c r="H19" s="313"/>
      <c r="I19" s="184"/>
      <c r="J19" s="191">
        <f>I19*I17</f>
        <v>0</v>
      </c>
      <c r="K19" s="48"/>
      <c r="L19" s="57"/>
      <c r="M19" s="44"/>
      <c r="P19" s="67"/>
      <c r="Q19" s="67"/>
      <c r="R19" s="67"/>
      <c r="S19" s="67"/>
    </row>
    <row r="20" spans="1:19" x14ac:dyDescent="0.3">
      <c r="A20" s="43"/>
      <c r="B20" s="336"/>
      <c r="C20" s="66">
        <v>2</v>
      </c>
      <c r="D20" s="337"/>
      <c r="E20" s="338"/>
      <c r="F20" s="339"/>
      <c r="G20" s="312"/>
      <c r="H20" s="313"/>
      <c r="I20" s="184"/>
      <c r="J20" s="191">
        <f>I20*I17</f>
        <v>0</v>
      </c>
      <c r="K20" s="48"/>
      <c r="L20" s="57"/>
      <c r="M20" s="44"/>
      <c r="P20" s="68"/>
      <c r="Q20" s="68"/>
      <c r="R20" s="68"/>
      <c r="S20" s="68"/>
    </row>
    <row r="21" spans="1:19" x14ac:dyDescent="0.3">
      <c r="A21" s="43"/>
      <c r="B21" s="336"/>
      <c r="C21" s="66">
        <v>3</v>
      </c>
      <c r="D21" s="337"/>
      <c r="E21" s="338"/>
      <c r="F21" s="339"/>
      <c r="G21" s="312"/>
      <c r="H21" s="313"/>
      <c r="I21" s="184"/>
      <c r="J21" s="191">
        <f>I21*I17</f>
        <v>0</v>
      </c>
      <c r="K21" s="48"/>
      <c r="L21" s="57"/>
      <c r="M21" s="44"/>
      <c r="P21" s="68"/>
      <c r="R21" s="68"/>
      <c r="S21" s="68"/>
    </row>
    <row r="22" spans="1:19" x14ac:dyDescent="0.3">
      <c r="A22" s="43"/>
      <c r="B22" s="153"/>
      <c r="C22" s="48"/>
      <c r="D22" s="69"/>
      <c r="E22" s="69"/>
      <c r="F22" s="69"/>
      <c r="G22" s="151"/>
      <c r="H22" s="151"/>
      <c r="I22" s="70">
        <f>SUM(I19:I21)</f>
        <v>0</v>
      </c>
      <c r="J22" s="151"/>
      <c r="K22" s="48"/>
      <c r="L22" s="57"/>
      <c r="M22" s="44"/>
      <c r="P22" s="71"/>
    </row>
    <row r="23" spans="1:19" x14ac:dyDescent="0.3">
      <c r="A23" s="43"/>
      <c r="B23" s="351" t="s">
        <v>908</v>
      </c>
      <c r="C23" s="352"/>
      <c r="D23" s="62" t="s">
        <v>1101</v>
      </c>
      <c r="F23" s="353"/>
      <c r="G23" s="354"/>
      <c r="H23" s="63" t="s">
        <v>1102</v>
      </c>
      <c r="I23" s="343"/>
      <c r="J23" s="344"/>
      <c r="K23" s="48"/>
      <c r="L23" s="57"/>
      <c r="M23" s="44"/>
    </row>
    <row r="24" spans="1:19" x14ac:dyDescent="0.3">
      <c r="A24" s="43"/>
      <c r="B24" s="153"/>
      <c r="C24" s="65" t="s">
        <v>9</v>
      </c>
      <c r="D24" s="335" t="s">
        <v>7</v>
      </c>
      <c r="E24" s="335"/>
      <c r="F24" s="335"/>
      <c r="G24" s="65" t="s">
        <v>8</v>
      </c>
      <c r="H24" s="65"/>
      <c r="I24" s="65" t="s">
        <v>10</v>
      </c>
      <c r="J24" s="65" t="s">
        <v>907</v>
      </c>
      <c r="K24" s="48"/>
      <c r="L24" s="57"/>
      <c r="M24" s="44"/>
      <c r="P24" s="71"/>
    </row>
    <row r="25" spans="1:19" x14ac:dyDescent="0.3">
      <c r="A25" s="43"/>
      <c r="B25" s="153"/>
      <c r="C25" s="66">
        <v>1</v>
      </c>
      <c r="D25" s="337"/>
      <c r="E25" s="338"/>
      <c r="F25" s="339"/>
      <c r="G25" s="312"/>
      <c r="H25" s="313"/>
      <c r="I25" s="184"/>
      <c r="J25" s="191">
        <f>I25*I23</f>
        <v>0</v>
      </c>
      <c r="K25" s="48"/>
      <c r="L25" s="57"/>
      <c r="M25" s="44"/>
      <c r="O25" s="42" t="s">
        <v>16</v>
      </c>
    </row>
    <row r="26" spans="1:19" x14ac:dyDescent="0.3">
      <c r="A26" s="43"/>
      <c r="B26" s="64"/>
      <c r="C26" s="66">
        <v>2</v>
      </c>
      <c r="D26" s="337"/>
      <c r="E26" s="338"/>
      <c r="F26" s="339"/>
      <c r="G26" s="312"/>
      <c r="H26" s="313"/>
      <c r="I26" s="184"/>
      <c r="J26" s="191">
        <f>I26*I23</f>
        <v>0</v>
      </c>
      <c r="K26" s="48"/>
      <c r="L26" s="57"/>
      <c r="M26" s="44"/>
      <c r="P26" s="345"/>
      <c r="Q26" s="345"/>
      <c r="R26" s="345"/>
      <c r="S26" s="345"/>
    </row>
    <row r="27" spans="1:19" x14ac:dyDescent="0.3">
      <c r="A27" s="43"/>
      <c r="B27" s="64"/>
      <c r="C27" s="66">
        <v>3</v>
      </c>
      <c r="D27" s="337"/>
      <c r="E27" s="338"/>
      <c r="F27" s="339"/>
      <c r="G27" s="312"/>
      <c r="H27" s="313"/>
      <c r="I27" s="184"/>
      <c r="J27" s="192">
        <f>I27*I23</f>
        <v>0</v>
      </c>
      <c r="K27" s="48"/>
      <c r="L27" s="57"/>
      <c r="M27" s="44"/>
    </row>
    <row r="28" spans="1:19" x14ac:dyDescent="0.3">
      <c r="A28" s="43"/>
      <c r="B28" s="64"/>
      <c r="C28" s="48"/>
      <c r="D28" s="69"/>
      <c r="E28" s="69"/>
      <c r="F28" s="69"/>
      <c r="G28" s="151"/>
      <c r="H28" s="151"/>
      <c r="I28" s="70">
        <f>IF(SUM(I25:I27)=1," ",SUM(I25:I27))</f>
        <v>0</v>
      </c>
      <c r="J28" s="151"/>
      <c r="K28" s="48"/>
      <c r="L28" s="57"/>
      <c r="M28" s="44"/>
      <c r="P28" s="342"/>
      <c r="Q28" s="342"/>
      <c r="R28" s="72"/>
    </row>
    <row r="29" spans="1:19" x14ac:dyDescent="0.3">
      <c r="A29" s="43"/>
      <c r="B29" s="351" t="s">
        <v>910</v>
      </c>
      <c r="C29" s="352"/>
      <c r="D29" s="62" t="s">
        <v>1101</v>
      </c>
      <c r="F29" s="353"/>
      <c r="G29" s="354"/>
      <c r="H29" s="63" t="s">
        <v>1102</v>
      </c>
      <c r="I29" s="343"/>
      <c r="J29" s="344"/>
      <c r="K29" s="48"/>
      <c r="L29" s="57"/>
      <c r="M29" s="44"/>
    </row>
    <row r="30" spans="1:19" x14ac:dyDescent="0.3">
      <c r="A30" s="43"/>
      <c r="B30" s="153"/>
      <c r="C30" s="65" t="s">
        <v>9</v>
      </c>
      <c r="D30" s="335" t="s">
        <v>7</v>
      </c>
      <c r="E30" s="335"/>
      <c r="F30" s="335"/>
      <c r="G30" s="65" t="s">
        <v>8</v>
      </c>
      <c r="H30" s="65"/>
      <c r="I30" s="65" t="s">
        <v>10</v>
      </c>
      <c r="J30" s="65" t="s">
        <v>907</v>
      </c>
      <c r="K30" s="48"/>
      <c r="L30" s="57"/>
      <c r="M30" s="44"/>
      <c r="P30" s="342"/>
      <c r="Q30" s="342"/>
    </row>
    <row r="31" spans="1:19" x14ac:dyDescent="0.3">
      <c r="A31" s="43"/>
      <c r="B31" s="153"/>
      <c r="C31" s="66">
        <v>1</v>
      </c>
      <c r="D31" s="337"/>
      <c r="E31" s="338"/>
      <c r="F31" s="339"/>
      <c r="G31" s="312"/>
      <c r="H31" s="313"/>
      <c r="I31" s="184"/>
      <c r="J31" s="191">
        <f>I31*I29</f>
        <v>0</v>
      </c>
      <c r="K31" s="48"/>
      <c r="L31" s="57"/>
      <c r="M31" s="44"/>
    </row>
    <row r="32" spans="1:19" x14ac:dyDescent="0.3">
      <c r="A32" s="43"/>
      <c r="B32" s="64"/>
      <c r="C32" s="66">
        <v>2</v>
      </c>
      <c r="D32" s="337"/>
      <c r="E32" s="338"/>
      <c r="F32" s="339"/>
      <c r="G32" s="312"/>
      <c r="H32" s="313"/>
      <c r="I32" s="184"/>
      <c r="J32" s="191">
        <f>I32*I29</f>
        <v>0</v>
      </c>
      <c r="K32" s="48"/>
      <c r="L32" s="57"/>
      <c r="M32" s="44"/>
      <c r="Q32" s="42" t="s">
        <v>16</v>
      </c>
    </row>
    <row r="33" spans="1:13" x14ac:dyDescent="0.3">
      <c r="A33" s="43"/>
      <c r="B33" s="64"/>
      <c r="C33" s="66">
        <v>3</v>
      </c>
      <c r="D33" s="337"/>
      <c r="E33" s="338"/>
      <c r="F33" s="339"/>
      <c r="G33" s="312"/>
      <c r="H33" s="313"/>
      <c r="I33" s="184"/>
      <c r="J33" s="192">
        <f>I33*I29</f>
        <v>0</v>
      </c>
      <c r="K33" s="48"/>
      <c r="L33" s="57"/>
      <c r="M33" s="44"/>
    </row>
    <row r="34" spans="1:13" ht="15" thickBot="1" x14ac:dyDescent="0.35">
      <c r="A34" s="43"/>
      <c r="B34" s="73"/>
      <c r="C34" s="74"/>
      <c r="D34" s="75"/>
      <c r="E34" s="75"/>
      <c r="F34" s="75"/>
      <c r="G34" s="76"/>
      <c r="H34" s="76"/>
      <c r="I34" s="77">
        <f>SUM(I31:I33)</f>
        <v>0</v>
      </c>
      <c r="J34" s="76"/>
      <c r="K34" s="74"/>
      <c r="L34" s="78"/>
      <c r="M34" s="44"/>
    </row>
    <row r="35" spans="1:13" x14ac:dyDescent="0.3">
      <c r="A35" s="43"/>
      <c r="B35" s="48"/>
      <c r="C35" s="48"/>
      <c r="D35" s="48"/>
      <c r="E35" s="48"/>
      <c r="F35" s="48"/>
      <c r="G35" s="48"/>
      <c r="H35" s="48"/>
      <c r="I35" s="48"/>
      <c r="J35" s="48"/>
      <c r="K35" s="48"/>
      <c r="L35" s="48"/>
      <c r="M35" s="44"/>
    </row>
    <row r="36" spans="1:13" x14ac:dyDescent="0.3">
      <c r="A36" s="80"/>
      <c r="B36" s="81" t="s">
        <v>900</v>
      </c>
      <c r="C36" s="82"/>
      <c r="D36" s="82"/>
      <c r="E36" s="82"/>
      <c r="F36" s="82"/>
      <c r="G36" s="82"/>
      <c r="H36" s="82"/>
      <c r="I36" s="82"/>
      <c r="J36" s="82"/>
      <c r="K36" s="82"/>
      <c r="L36" s="82"/>
      <c r="M36" s="83"/>
    </row>
    <row r="37" spans="1:13" x14ac:dyDescent="0.3">
      <c r="M37" s="48"/>
    </row>
  </sheetData>
  <mergeCells count="55">
    <mergeCell ref="I14:L14"/>
    <mergeCell ref="F17:G17"/>
    <mergeCell ref="F29:G29"/>
    <mergeCell ref="G19:H19"/>
    <mergeCell ref="G33:H33"/>
    <mergeCell ref="G20:H20"/>
    <mergeCell ref="G21:H21"/>
    <mergeCell ref="G25:H25"/>
    <mergeCell ref="D26:F26"/>
    <mergeCell ref="D27:F27"/>
    <mergeCell ref="G32:H32"/>
    <mergeCell ref="D31:F31"/>
    <mergeCell ref="D33:F33"/>
    <mergeCell ref="D32:F32"/>
    <mergeCell ref="I17:J17"/>
    <mergeCell ref="D18:F18"/>
    <mergeCell ref="H6:J6"/>
    <mergeCell ref="G26:H26"/>
    <mergeCell ref="P30:Q30"/>
    <mergeCell ref="I23:J23"/>
    <mergeCell ref="P26:S26"/>
    <mergeCell ref="B11:G11"/>
    <mergeCell ref="I11:L11"/>
    <mergeCell ref="P28:Q28"/>
    <mergeCell ref="I29:J29"/>
    <mergeCell ref="B23:C23"/>
    <mergeCell ref="F23:G23"/>
    <mergeCell ref="K7:L7"/>
    <mergeCell ref="H7:J7"/>
    <mergeCell ref="D24:F24"/>
    <mergeCell ref="B17:C17"/>
    <mergeCell ref="B29:C29"/>
    <mergeCell ref="G27:H27"/>
    <mergeCell ref="D30:F30"/>
    <mergeCell ref="B19:B21"/>
    <mergeCell ref="D19:F19"/>
    <mergeCell ref="D20:F20"/>
    <mergeCell ref="D21:F21"/>
    <mergeCell ref="D25:F25"/>
    <mergeCell ref="I3:L3"/>
    <mergeCell ref="B2:H2"/>
    <mergeCell ref="B3:H3"/>
    <mergeCell ref="I2:K2"/>
    <mergeCell ref="G31:H31"/>
    <mergeCell ref="B4:L4"/>
    <mergeCell ref="B5:D5"/>
    <mergeCell ref="E5:G5"/>
    <mergeCell ref="H5:J5"/>
    <mergeCell ref="K5:L5"/>
    <mergeCell ref="B6:D6"/>
    <mergeCell ref="E6:G6"/>
    <mergeCell ref="B7:D7"/>
    <mergeCell ref="E7:G7"/>
    <mergeCell ref="K6:L6"/>
    <mergeCell ref="B9:L9"/>
  </mergeCells>
  <conditionalFormatting sqref="I19">
    <cfRule type="cellIs" dxfId="52" priority="18" operator="greaterThan">
      <formula>100</formula>
    </cfRule>
  </conditionalFormatting>
  <conditionalFormatting sqref="I22">
    <cfRule type="cellIs" dxfId="51" priority="13" operator="greaterThan">
      <formula>1</formula>
    </cfRule>
    <cfRule type="cellIs" dxfId="50" priority="14" operator="equal">
      <formula>1</formula>
    </cfRule>
    <cfRule type="cellIs" dxfId="49" priority="15" operator="between">
      <formula>0.000001</formula>
      <formula>0.99999999</formula>
    </cfRule>
    <cfRule type="cellIs" dxfId="48" priority="16" operator="equal">
      <formula>0</formula>
    </cfRule>
    <cfRule type="cellIs" dxfId="47" priority="17" operator="lessThan">
      <formula>0</formula>
    </cfRule>
  </conditionalFormatting>
  <conditionalFormatting sqref="I25">
    <cfRule type="cellIs" dxfId="46" priority="2" operator="greaterThan">
      <formula>100</formula>
    </cfRule>
  </conditionalFormatting>
  <conditionalFormatting sqref="I28">
    <cfRule type="cellIs" dxfId="45" priority="8" operator="greaterThan">
      <formula>1</formula>
    </cfRule>
    <cfRule type="cellIs" dxfId="44" priority="9" operator="equal">
      <formula>1</formula>
    </cfRule>
    <cfRule type="cellIs" dxfId="43" priority="10" operator="between">
      <formula>0.000001</formula>
      <formula>0.99999999</formula>
    </cfRule>
    <cfRule type="cellIs" dxfId="42" priority="11" operator="equal">
      <formula>0</formula>
    </cfRule>
    <cfRule type="cellIs" dxfId="41" priority="12" operator="lessThan">
      <formula>0</formula>
    </cfRule>
  </conditionalFormatting>
  <conditionalFormatting sqref="I31">
    <cfRule type="cellIs" dxfId="40" priority="1" operator="greaterThan">
      <formula>100</formula>
    </cfRule>
  </conditionalFormatting>
  <conditionalFormatting sqref="I34">
    <cfRule type="cellIs" dxfId="39" priority="3" operator="greaterThan">
      <formula>1</formula>
    </cfRule>
    <cfRule type="cellIs" dxfId="38" priority="4" operator="equal">
      <formula>1</formula>
    </cfRule>
    <cfRule type="cellIs" dxfId="37" priority="5" operator="between">
      <formula>0.000001</formula>
      <formula>0.99999999</formula>
    </cfRule>
    <cfRule type="cellIs" dxfId="36" priority="6" operator="equal">
      <formula>0</formula>
    </cfRule>
    <cfRule type="cellIs" dxfId="35" priority="7" operator="lessThan">
      <formula>0</formula>
    </cfRule>
  </conditionalFormatting>
  <dataValidations count="1">
    <dataValidation allowBlank="1" showErrorMessage="1" errorTitle="SDOT Activity Set-Up Form" error="The Project ID you entered does not exist in the DimProjects table in the data warehouse. Once the project has been created in the data warehouse, do a Data | Refresh in this form to update the form's project list." promptTitle="Select from the dropdown list" prompt="If your project is not on the dropdown, ask the Finance data analyst to have it added to the DimProjects table in the Project Financials data warehouse." sqref="E5" xr:uid="{47DC9B2B-DF5E-44D1-9C5B-78E3762944BC}"/>
  </dataValidations>
  <pageMargins left="0.25" right="0.25" top="0.75" bottom="0.75" header="0.3" footer="0.3"/>
  <pageSetup scale="78" orientation="portrait" cellComments="asDisplayed" r:id="rId1"/>
  <drawing r:id="rId2"/>
  <legacyDrawing r:id="rId3"/>
  <mc:AlternateContent xmlns:mc="http://schemas.openxmlformats.org/markup-compatibility/2006">
    <mc:Choice Requires="x14">
      <controls>
        <mc:AlternateContent xmlns:mc="http://schemas.openxmlformats.org/markup-compatibility/2006">
          <mc:Choice Requires="x14">
            <control shapeId="2093" r:id="rId4" name="Check Box 45">
              <controlPr defaultSize="0" autoFill="0" autoLine="0" autoPict="0">
                <anchor moveWithCells="1">
                  <from>
                    <xdr:col>5</xdr:col>
                    <xdr:colOff>518160</xdr:colOff>
                    <xdr:row>11</xdr:row>
                    <xdr:rowOff>137160</xdr:rowOff>
                  </from>
                  <to>
                    <xdr:col>6</xdr:col>
                    <xdr:colOff>365760</xdr:colOff>
                    <xdr:row>13</xdr:row>
                    <xdr:rowOff>106680</xdr:rowOff>
                  </to>
                </anchor>
              </controlPr>
            </control>
          </mc:Choice>
        </mc:AlternateContent>
        <mc:AlternateContent xmlns:mc="http://schemas.openxmlformats.org/markup-compatibility/2006">
          <mc:Choice Requires="x14">
            <control shapeId="2094" r:id="rId5" name="Check Box 46">
              <controlPr defaultSize="0" autoFill="0" autoLine="0" autoPict="0">
                <anchor moveWithCells="1">
                  <from>
                    <xdr:col>5</xdr:col>
                    <xdr:colOff>68580</xdr:colOff>
                    <xdr:row>11</xdr:row>
                    <xdr:rowOff>106680</xdr:rowOff>
                  </from>
                  <to>
                    <xdr:col>6</xdr:col>
                    <xdr:colOff>38100</xdr:colOff>
                    <xdr:row>13</xdr:row>
                    <xdr:rowOff>144780</xdr:rowOff>
                  </to>
                </anchor>
              </controlPr>
            </control>
          </mc:Choice>
        </mc:AlternateContent>
        <mc:AlternateContent xmlns:mc="http://schemas.openxmlformats.org/markup-compatibility/2006">
          <mc:Choice Requires="x14">
            <control shapeId="2097" r:id="rId6" name="Check Box 49">
              <controlPr defaultSize="0" autoFill="0" autoLine="0" autoPict="0">
                <anchor moveWithCells="1">
                  <from>
                    <xdr:col>5</xdr:col>
                    <xdr:colOff>76200</xdr:colOff>
                    <xdr:row>9</xdr:row>
                    <xdr:rowOff>60960</xdr:rowOff>
                  </from>
                  <to>
                    <xdr:col>6</xdr:col>
                    <xdr:colOff>45720</xdr:colOff>
                    <xdr:row>11</xdr:row>
                    <xdr:rowOff>99060</xdr:rowOff>
                  </to>
                </anchor>
              </controlPr>
            </control>
          </mc:Choice>
        </mc:AlternateContent>
        <mc:AlternateContent xmlns:mc="http://schemas.openxmlformats.org/markup-compatibility/2006">
          <mc:Choice Requires="x14">
            <control shapeId="2098" r:id="rId7" name="Check Box 50">
              <controlPr defaultSize="0" autoFill="0" autoLine="0" autoPict="0">
                <anchor moveWithCells="1">
                  <from>
                    <xdr:col>6</xdr:col>
                    <xdr:colOff>22860</xdr:colOff>
                    <xdr:row>9</xdr:row>
                    <xdr:rowOff>83820</xdr:rowOff>
                  </from>
                  <to>
                    <xdr:col>6</xdr:col>
                    <xdr:colOff>381000</xdr:colOff>
                    <xdr:row>11</xdr:row>
                    <xdr:rowOff>60960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6">
        <x14:dataValidation type="list" allowBlank="1" showInputMessage="1" showErrorMessage="1" xr:uid="{7424C886-B243-4D83-AE52-358F4451774C}">
          <x14:formula1>
            <xm:f>'V:\Finance\SRI\Project Documents\Business Processes - Finance Only\Forms &amp; Cheat Sheets\[DRAFT NEW PROJECT SETUP FORM -  Finance Testing 10_18_17.xlsx]PullDowns'!#REF!</xm:f>
          </x14:formula1>
          <xm:sqref>D28:F28 D22:F22 D34:F34</xm:sqref>
        </x14:dataValidation>
        <x14:dataValidation type="list" allowBlank="1" showInputMessage="1" showErrorMessage="1" xr:uid="{6E19DB9A-95E8-4C12-B5A8-21F7D140B8DA}">
          <x14:formula1>
            <xm:f>OFFSET('V:\Finance\SRI\Project Documents\Business Processes - Finance Only\Forms &amp; Cheat Sheets\[DRAFT NEW PROJECT SETUP FORM -  Finance Testing 10_18_17.xlsx]PullDowns'!#REF!,0,0,COUNTA('V:\Finance\SRI\Project Documents\Business Processes - Finance Only\Forms &amp; Cheat Sheets\[DRAFT NEW PROJECT SETUP FORM -  Finance Testing 10_18_17.xlsx]PullDowns'!#REF!)-1)</xm:f>
          </x14:formula1>
          <xm:sqref>G34:H34 G22:H22 G28:H28</xm:sqref>
        </x14:dataValidation>
        <x14:dataValidation type="list" allowBlank="1" showInputMessage="1" showErrorMessage="1" xr:uid="{8B9443A9-BBA2-4ECE-96FC-FA892E328A85}">
          <x14:formula1>
            <xm:f>PullDowns!$F$2:$F$7</xm:f>
          </x14:formula1>
          <xm:sqref>I11</xm:sqref>
        </x14:dataValidation>
        <x14:dataValidation type="list" allowBlank="1" showInputMessage="1" showErrorMessage="1" xr:uid="{364A512E-2AAA-4896-832A-8A5BB6C0E2B3}">
          <x14:formula1>
            <xm:f>PullDowns!$B$2:$B$3</xm:f>
          </x14:formula1>
          <xm:sqref>I14:L14</xm:sqref>
        </x14:dataValidation>
        <x14:dataValidation type="list" allowBlank="1" showInputMessage="1" showErrorMessage="1" xr:uid="{E44CFCC6-D625-4740-8F75-8DC77FBB1F0A}">
          <x14:formula1>
            <xm:f>PullDowns!$G$2:$G$41</xm:f>
          </x14:formula1>
          <xm:sqref>D19:F21 D25:F27 D31:F33</xm:sqref>
        </x14:dataValidation>
        <x14:dataValidation type="list" errorStyle="information" allowBlank="1" showInputMessage="1" showErrorMessage="1" promptTitle="Funding Source" prompt="Please use drop down menu unless it is necessary to use a new fund source not on the list.  For new fund sources, you can enter the name despite the error message (select ok to error message)." xr:uid="{FC42E069-3529-45E3-B405-DC696A9A9F77}">
          <x14:formula1>
            <xm:f>PullDowns!$H$2:$H$44</xm:f>
          </x14:formula1>
          <xm:sqref>G19:H21 G31:H33 G25:H27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75E60-6EC6-4F6A-AC4C-8F43D0D9915D}">
  <sheetPr codeName="Sheet4">
    <pageSetUpPr fitToPage="1"/>
  </sheetPr>
  <dimension ref="A1:AG71"/>
  <sheetViews>
    <sheetView zoomScaleNormal="100" workbookViewId="0"/>
  </sheetViews>
  <sheetFormatPr defaultColWidth="9.33203125" defaultRowHeight="14.4" x14ac:dyDescent="0.3"/>
  <cols>
    <col min="1" max="1" width="2.33203125" style="42" customWidth="1"/>
    <col min="2" max="2" width="5.5546875" style="42" customWidth="1"/>
    <col min="3" max="3" width="24.6640625" style="42" customWidth="1"/>
    <col min="4" max="4" width="8.5546875" style="42" customWidth="1"/>
    <col min="5" max="5" width="13.5546875" style="42" customWidth="1"/>
    <col min="6" max="7" width="7.33203125" style="42" customWidth="1"/>
    <col min="8" max="8" width="20" style="42" customWidth="1"/>
    <col min="9" max="9" width="8.44140625" style="42" customWidth="1"/>
    <col min="10" max="10" width="13.6640625" style="42" customWidth="1"/>
    <col min="11" max="11" width="9.33203125" style="42"/>
    <col min="12" max="12" width="21.88671875" style="42" customWidth="1"/>
    <col min="13" max="13" width="0.109375" style="42" customWidth="1"/>
    <col min="14" max="14" width="2.33203125" style="48" customWidth="1"/>
    <col min="15" max="15" width="2.33203125" style="42" customWidth="1"/>
    <col min="16" max="17" width="9.33203125" style="42" customWidth="1"/>
    <col min="18" max="18" width="15.33203125" style="42" customWidth="1"/>
    <col min="19" max="19" width="9.33203125" style="42" customWidth="1"/>
    <col min="20" max="20" width="13.109375" style="42" customWidth="1"/>
    <col min="21" max="16384" width="9.33203125" style="42"/>
  </cols>
  <sheetData>
    <row r="1" spans="1:24" ht="15" thickBot="1" x14ac:dyDescent="0.35">
      <c r="A1" s="39"/>
      <c r="B1" s="40"/>
      <c r="C1" s="40"/>
      <c r="D1" s="40"/>
      <c r="E1" s="40"/>
      <c r="F1" s="40"/>
      <c r="G1" s="40"/>
      <c r="H1" s="40"/>
      <c r="I1" s="40"/>
      <c r="J1" s="40"/>
      <c r="K1" s="40"/>
      <c r="L1" s="40"/>
      <c r="M1" s="40"/>
      <c r="N1" s="41"/>
    </row>
    <row r="2" spans="1:24" ht="23.4" x14ac:dyDescent="0.45">
      <c r="A2" s="43"/>
      <c r="B2" s="231" t="s">
        <v>1234</v>
      </c>
      <c r="C2" s="232"/>
      <c r="D2" s="232"/>
      <c r="E2" s="232"/>
      <c r="F2" s="232"/>
      <c r="G2" s="232"/>
      <c r="H2" s="232"/>
      <c r="I2" s="235" t="s">
        <v>1233</v>
      </c>
      <c r="J2" s="235"/>
      <c r="K2" s="235"/>
      <c r="L2" s="169"/>
      <c r="M2" s="44"/>
      <c r="N2" s="44"/>
    </row>
    <row r="3" spans="1:24" ht="18.600000000000001" thickBot="1" x14ac:dyDescent="0.4">
      <c r="A3" s="43"/>
      <c r="B3" s="233" t="s">
        <v>1252</v>
      </c>
      <c r="C3" s="234"/>
      <c r="D3" s="234"/>
      <c r="E3" s="234"/>
      <c r="F3" s="234"/>
      <c r="G3" s="234"/>
      <c r="H3" s="234"/>
      <c r="I3" s="237"/>
      <c r="J3" s="238"/>
      <c r="K3" s="238"/>
      <c r="L3" s="239"/>
      <c r="M3" s="44"/>
      <c r="N3" s="44"/>
    </row>
    <row r="4" spans="1:24" ht="15" thickBot="1" x14ac:dyDescent="0.35">
      <c r="A4" s="43"/>
      <c r="B4" s="315" t="s">
        <v>4</v>
      </c>
      <c r="C4" s="315"/>
      <c r="D4" s="315"/>
      <c r="E4" s="315"/>
      <c r="F4" s="315"/>
      <c r="G4" s="315"/>
      <c r="H4" s="315"/>
      <c r="I4" s="315"/>
      <c r="J4" s="315"/>
      <c r="K4" s="315"/>
      <c r="L4" s="390"/>
      <c r="M4" s="44"/>
      <c r="N4" s="44"/>
    </row>
    <row r="5" spans="1:24" x14ac:dyDescent="0.3">
      <c r="A5" s="43"/>
      <c r="B5" s="316" t="s">
        <v>945</v>
      </c>
      <c r="C5" s="317"/>
      <c r="D5" s="317"/>
      <c r="E5" s="391" t="str">
        <f>'POM  Section'!E6:G6</f>
        <v>21st Ave S - Bayview to Walker</v>
      </c>
      <c r="F5" s="391"/>
      <c r="G5" s="391"/>
      <c r="H5" s="317" t="s">
        <v>944</v>
      </c>
      <c r="I5" s="317"/>
      <c r="J5" s="317"/>
      <c r="K5" s="322">
        <f>'POM  Section'!K6:L6</f>
        <v>20000</v>
      </c>
      <c r="L5" s="323"/>
      <c r="M5" s="44"/>
      <c r="N5" s="44"/>
    </row>
    <row r="6" spans="1:24" x14ac:dyDescent="0.3">
      <c r="A6" s="43"/>
      <c r="B6" s="324" t="s">
        <v>947</v>
      </c>
      <c r="C6" s="325"/>
      <c r="D6" s="325"/>
      <c r="E6" s="403" t="str">
        <f>'POM  Section'!E7:G7</f>
        <v>TRC0338</v>
      </c>
      <c r="F6" s="403"/>
      <c r="G6" s="403"/>
      <c r="H6" s="404" t="s">
        <v>1099</v>
      </c>
      <c r="I6" s="404"/>
      <c r="J6" s="404"/>
      <c r="K6" s="405">
        <f>'POM  Section'!K7:L7</f>
        <v>350000</v>
      </c>
      <c r="L6" s="406"/>
      <c r="M6" s="44"/>
      <c r="N6" s="44"/>
    </row>
    <row r="7" spans="1:24" ht="15" thickBot="1" x14ac:dyDescent="0.35">
      <c r="A7" s="43"/>
      <c r="B7" s="329" t="s">
        <v>942</v>
      </c>
      <c r="C7" s="330"/>
      <c r="D7" s="330"/>
      <c r="E7" s="331" t="str">
        <f>'POM  Section'!E8:G8</f>
        <v>Low Cost Sidewalks</v>
      </c>
      <c r="F7" s="331"/>
      <c r="G7" s="331"/>
      <c r="H7" s="358" t="s">
        <v>941</v>
      </c>
      <c r="I7" s="358"/>
      <c r="J7" s="358"/>
      <c r="K7" s="355" t="str">
        <f>'POM  Section'!K8</f>
        <v>Yes</v>
      </c>
      <c r="L7" s="356"/>
      <c r="M7" s="44"/>
      <c r="N7" s="44"/>
    </row>
    <row r="8" spans="1:24" x14ac:dyDescent="0.3">
      <c r="A8" s="43"/>
      <c r="B8" s="62"/>
      <c r="C8" s="125"/>
      <c r="D8" s="125"/>
      <c r="E8" s="126"/>
      <c r="F8" s="126"/>
      <c r="G8" s="126"/>
      <c r="H8" s="127"/>
      <c r="I8" s="128"/>
      <c r="J8" s="128"/>
      <c r="K8" s="129"/>
      <c r="L8" s="129"/>
      <c r="M8" s="48"/>
      <c r="N8" s="44"/>
    </row>
    <row r="9" spans="1:24" ht="15" thickBot="1" x14ac:dyDescent="0.35">
      <c r="A9" s="43"/>
      <c r="B9" s="315" t="s">
        <v>1103</v>
      </c>
      <c r="C9" s="315"/>
      <c r="D9" s="315"/>
      <c r="E9" s="315"/>
      <c r="F9" s="315"/>
      <c r="G9" s="315"/>
      <c r="H9" s="315" t="s">
        <v>1108</v>
      </c>
      <c r="I9" s="315"/>
      <c r="J9" s="315"/>
      <c r="K9" s="315"/>
      <c r="L9" s="315"/>
      <c r="M9" s="48"/>
      <c r="N9" s="44"/>
      <c r="P9" s="193"/>
    </row>
    <row r="10" spans="1:24" s="48" customFormat="1" x14ac:dyDescent="0.3">
      <c r="A10" s="43"/>
      <c r="B10" s="154" t="s">
        <v>901</v>
      </c>
      <c r="C10" s="155"/>
      <c r="D10" s="371"/>
      <c r="E10" s="371"/>
      <c r="F10" s="371"/>
      <c r="G10" s="372"/>
      <c r="H10" s="130" t="s">
        <v>1109</v>
      </c>
      <c r="I10" s="373" t="s">
        <v>2</v>
      </c>
      <c r="J10" s="374"/>
      <c r="K10" s="374"/>
      <c r="L10" s="375"/>
      <c r="M10" s="131"/>
      <c r="N10" s="44"/>
      <c r="O10" s="42"/>
      <c r="P10" s="193"/>
      <c r="Q10" s="42"/>
      <c r="R10" s="42"/>
      <c r="S10" s="42"/>
    </row>
    <row r="11" spans="1:24" x14ac:dyDescent="0.3">
      <c r="A11" s="43"/>
      <c r="B11" s="394" t="s">
        <v>902</v>
      </c>
      <c r="C11" s="299"/>
      <c r="D11" s="295"/>
      <c r="E11" s="295"/>
      <c r="F11" s="295"/>
      <c r="G11" s="306"/>
      <c r="H11" s="132" t="s">
        <v>902</v>
      </c>
      <c r="I11" s="409" t="s">
        <v>41</v>
      </c>
      <c r="J11" s="410"/>
      <c r="K11" s="410"/>
      <c r="L11" s="411"/>
      <c r="M11" s="131"/>
      <c r="N11" s="170"/>
      <c r="O11" s="217"/>
    </row>
    <row r="12" spans="1:24" x14ac:dyDescent="0.3">
      <c r="A12" s="43"/>
      <c r="B12" s="368" t="s">
        <v>903</v>
      </c>
      <c r="C12" s="305"/>
      <c r="D12" s="369"/>
      <c r="E12" s="369"/>
      <c r="F12" s="369"/>
      <c r="G12" s="370"/>
      <c r="H12" s="133" t="s">
        <v>903</v>
      </c>
      <c r="I12" s="412">
        <f>IFERROR(VLOOKUP(D12,'standard activities'!S2:T14,2,FALSE),0)</f>
        <v>0</v>
      </c>
      <c r="J12" s="413"/>
      <c r="K12" s="413"/>
      <c r="L12" s="414"/>
      <c r="M12" s="131"/>
      <c r="N12" s="171"/>
      <c r="O12" s="218"/>
    </row>
    <row r="13" spans="1:24" x14ac:dyDescent="0.3">
      <c r="A13" s="43"/>
      <c r="B13" s="407" t="s">
        <v>948</v>
      </c>
      <c r="C13" s="305"/>
      <c r="D13" s="363" t="str">
        <f>IFERROR(VLOOKUP($D$11,prefix!$A$9:$B$10,2,FALSE),"-")</f>
        <v>-</v>
      </c>
      <c r="E13" s="363"/>
      <c r="F13" s="363"/>
      <c r="G13" s="364"/>
      <c r="H13" s="133" t="s">
        <v>948</v>
      </c>
      <c r="I13" s="412" t="str">
        <f>IFERROR(VLOOKUP(I11,prefix!A13:B14,2,FALSE),0)</f>
        <v>GS</v>
      </c>
      <c r="J13" s="413"/>
      <c r="K13" s="413"/>
      <c r="L13" s="414"/>
      <c r="M13" s="131"/>
      <c r="N13" s="172"/>
      <c r="O13" s="218"/>
      <c r="X13"/>
    </row>
    <row r="14" spans="1:24" ht="15" thickBot="1" x14ac:dyDescent="0.35">
      <c r="A14" s="43"/>
      <c r="B14" s="415" t="s">
        <v>904</v>
      </c>
      <c r="C14" s="416"/>
      <c r="D14" s="311"/>
      <c r="E14" s="311"/>
      <c r="F14" s="311"/>
      <c r="G14" s="365"/>
      <c r="H14" s="156" t="s">
        <v>17</v>
      </c>
      <c r="I14" s="376" t="s">
        <v>19</v>
      </c>
      <c r="J14" s="377"/>
      <c r="K14" s="377"/>
      <c r="L14" s="378"/>
      <c r="M14" s="131"/>
      <c r="N14" s="44"/>
    </row>
    <row r="15" spans="1:24" x14ac:dyDescent="0.3">
      <c r="A15" s="43"/>
      <c r="B15" s="134"/>
      <c r="C15" s="135"/>
      <c r="D15" s="49"/>
      <c r="E15" s="49"/>
      <c r="F15" s="49"/>
      <c r="G15" s="49"/>
      <c r="H15" s="136"/>
      <c r="I15" s="136"/>
      <c r="J15" s="136"/>
      <c r="K15" s="136"/>
      <c r="L15" s="136"/>
      <c r="M15" s="175"/>
      <c r="N15" s="44"/>
    </row>
    <row r="16" spans="1:24" ht="15" thickBot="1" x14ac:dyDescent="0.35">
      <c r="A16" s="43"/>
      <c r="B16" s="315" t="s">
        <v>1104</v>
      </c>
      <c r="C16" s="315"/>
      <c r="D16" s="315"/>
      <c r="E16" s="315"/>
      <c r="F16" s="315"/>
      <c r="G16" s="315"/>
      <c r="H16" s="315"/>
      <c r="I16" s="315"/>
      <c r="J16" s="315"/>
      <c r="K16" s="315"/>
      <c r="L16" s="315"/>
      <c r="M16" s="175"/>
      <c r="N16" s="44"/>
    </row>
    <row r="17" spans="1:33" x14ac:dyDescent="0.3">
      <c r="A17" s="43"/>
      <c r="B17" s="137" t="s">
        <v>1105</v>
      </c>
      <c r="C17" s="138"/>
      <c r="D17" s="139"/>
      <c r="E17" s="139"/>
      <c r="F17" s="139"/>
      <c r="G17" s="140"/>
      <c r="H17" s="138"/>
      <c r="I17" s="141"/>
      <c r="J17" s="141"/>
      <c r="K17" s="141"/>
      <c r="L17" s="142"/>
      <c r="M17" s="131"/>
      <c r="N17" s="44"/>
    </row>
    <row r="18" spans="1:33" x14ac:dyDescent="0.3">
      <c r="A18" s="43"/>
      <c r="B18" s="366"/>
      <c r="C18" s="367"/>
      <c r="D18" s="367"/>
      <c r="E18" s="143" t="s">
        <v>1106</v>
      </c>
      <c r="F18" s="143"/>
      <c r="G18" s="143"/>
      <c r="H18" s="397"/>
      <c r="I18" s="398"/>
      <c r="J18" s="144"/>
      <c r="K18" s="144"/>
      <c r="L18" s="145"/>
      <c r="M18" s="44"/>
      <c r="N18" s="44"/>
    </row>
    <row r="19" spans="1:33" x14ac:dyDescent="0.3">
      <c r="A19" s="43"/>
      <c r="B19" s="366"/>
      <c r="C19" s="367"/>
      <c r="D19" s="367"/>
      <c r="E19" s="395" t="s">
        <v>1144</v>
      </c>
      <c r="F19" s="395"/>
      <c r="G19" s="395"/>
      <c r="H19" s="395"/>
      <c r="I19" s="395"/>
      <c r="J19" s="395"/>
      <c r="K19" s="395"/>
      <c r="L19" s="396"/>
      <c r="M19" s="44"/>
      <c r="N19" s="44"/>
    </row>
    <row r="20" spans="1:33" s="48" customFormat="1" x14ac:dyDescent="0.3">
      <c r="A20" s="43"/>
      <c r="B20" s="164" t="s">
        <v>1109</v>
      </c>
      <c r="C20" s="50"/>
      <c r="D20" s="363">
        <f>IF(H18=0,(D10),)</f>
        <v>0</v>
      </c>
      <c r="E20" s="363"/>
      <c r="F20" s="363"/>
      <c r="G20" s="363"/>
      <c r="H20" s="305" t="s">
        <v>903</v>
      </c>
      <c r="I20" s="305"/>
      <c r="J20" s="363">
        <f>IFERROR(VLOOKUP(D20,'standard activities'!P4:Q5,2,FALSE),0)</f>
        <v>0</v>
      </c>
      <c r="K20" s="363"/>
      <c r="L20" s="364"/>
      <c r="M20" s="44"/>
      <c r="N20" s="173"/>
      <c r="O20"/>
      <c r="P20" s="42"/>
      <c r="Q20" s="42"/>
      <c r="R20" s="42"/>
      <c r="S20" s="42"/>
    </row>
    <row r="21" spans="1:33" x14ac:dyDescent="0.3">
      <c r="A21" s="43"/>
      <c r="B21" s="298" t="s">
        <v>1143</v>
      </c>
      <c r="C21" s="299"/>
      <c r="D21" s="408" t="str">
        <f>IF(D20="Design","Standard",IF(D20="Construction","Standard","Unique"))</f>
        <v>Unique</v>
      </c>
      <c r="E21" s="408"/>
      <c r="F21" s="408"/>
      <c r="G21" s="408"/>
      <c r="H21" s="305" t="s">
        <v>948</v>
      </c>
      <c r="I21" s="305"/>
      <c r="J21" s="363" t="str">
        <f>VLOOKUP($D$21,prefix!$A$9:$B$10,2,FALSE)</f>
        <v>UG</v>
      </c>
      <c r="K21" s="363"/>
      <c r="L21" s="364"/>
      <c r="M21" s="44"/>
      <c r="N21" s="173"/>
      <c r="O21"/>
    </row>
    <row r="22" spans="1:33" ht="15" thickBot="1" x14ac:dyDescent="0.35">
      <c r="A22" s="43"/>
      <c r="B22" s="399" t="s">
        <v>17</v>
      </c>
      <c r="C22" s="308" t="s">
        <v>19</v>
      </c>
      <c r="D22" s="309" t="s">
        <v>1140</v>
      </c>
      <c r="E22" s="309"/>
      <c r="F22" s="309"/>
      <c r="G22" s="309"/>
      <c r="H22" s="389" t="s">
        <v>1139</v>
      </c>
      <c r="I22" s="297"/>
      <c r="J22" s="400" t="str">
        <f>IF(H18=0,IF(J20=0,E5&amp;" - "&amp;"Ineligible","-"),"-")</f>
        <v>21st Ave S - Bayview to Walker - Ineligible</v>
      </c>
      <c r="K22" s="401"/>
      <c r="L22" s="402"/>
      <c r="M22" s="44"/>
      <c r="N22" s="44"/>
      <c r="P22" s="193"/>
    </row>
    <row r="23" spans="1:33" x14ac:dyDescent="0.3">
      <c r="A23" s="43"/>
      <c r="B23" s="146"/>
      <c r="C23" s="146"/>
      <c r="D23" s="147"/>
      <c r="E23" s="147"/>
      <c r="F23" s="147"/>
      <c r="G23" s="49"/>
      <c r="H23" s="48"/>
      <c r="I23" s="48"/>
      <c r="J23" s="48"/>
      <c r="K23" s="48"/>
      <c r="L23" s="183"/>
      <c r="N23" s="44"/>
      <c r="R23" s="194"/>
      <c r="X23"/>
      <c r="Z23"/>
    </row>
    <row r="24" spans="1:33" ht="15" thickBot="1" x14ac:dyDescent="0.35">
      <c r="A24" s="43"/>
      <c r="B24" s="315" t="s">
        <v>1107</v>
      </c>
      <c r="C24" s="315"/>
      <c r="D24" s="315"/>
      <c r="E24" s="315"/>
      <c r="F24" s="315"/>
      <c r="G24" s="315"/>
      <c r="H24" s="315"/>
      <c r="I24" s="315"/>
      <c r="J24" s="315"/>
      <c r="K24" s="315"/>
      <c r="L24" s="315"/>
      <c r="M24" s="48"/>
      <c r="N24" s="44"/>
    </row>
    <row r="25" spans="1:33" x14ac:dyDescent="0.3">
      <c r="A25" s="43"/>
      <c r="B25" s="387" t="s">
        <v>1231</v>
      </c>
      <c r="C25" s="388"/>
      <c r="D25" s="388"/>
      <c r="E25" s="388"/>
      <c r="F25" s="388"/>
      <c r="G25" s="388"/>
      <c r="H25" s="388"/>
      <c r="I25" s="384"/>
      <c r="J25" s="385"/>
      <c r="K25" s="385"/>
      <c r="L25" s="386"/>
      <c r="M25" s="44"/>
      <c r="N25" s="44"/>
      <c r="P25" t="s">
        <v>16</v>
      </c>
    </row>
    <row r="26" spans="1:33" x14ac:dyDescent="0.3">
      <c r="A26" s="43"/>
      <c r="B26" s="159"/>
      <c r="C26" s="160"/>
      <c r="D26" s="160"/>
      <c r="E26" s="162"/>
      <c r="F26" s="160"/>
      <c r="G26" s="160"/>
      <c r="H26" s="160"/>
      <c r="I26" s="161"/>
      <c r="J26" s="161"/>
      <c r="K26" s="161"/>
      <c r="L26" s="163"/>
      <c r="M26" s="44"/>
      <c r="N26" s="44"/>
      <c r="P26"/>
    </row>
    <row r="27" spans="1:33" x14ac:dyDescent="0.3">
      <c r="A27" s="43"/>
      <c r="B27" s="58"/>
      <c r="C27" s="56"/>
      <c r="D27" s="59" t="s">
        <v>1136</v>
      </c>
      <c r="E27"/>
      <c r="F27" s="56"/>
      <c r="H27" s="56"/>
      <c r="I27" s="359"/>
      <c r="J27" s="360"/>
      <c r="K27" s="360"/>
      <c r="L27" s="361"/>
      <c r="M27" s="44"/>
      <c r="N27" s="44"/>
    </row>
    <row r="28" spans="1:33" x14ac:dyDescent="0.3">
      <c r="A28" s="43"/>
      <c r="B28" s="61"/>
      <c r="C28" s="48"/>
      <c r="D28" s="59"/>
      <c r="E28" s="56"/>
      <c r="F28" s="56"/>
      <c r="G28" s="48"/>
      <c r="H28" s="56"/>
      <c r="I28" s="56"/>
      <c r="J28" s="56"/>
      <c r="K28" s="56"/>
      <c r="L28" s="57"/>
      <c r="M28" s="44"/>
      <c r="N28" s="44"/>
      <c r="AG28" s="71" t="s">
        <v>1111</v>
      </c>
    </row>
    <row r="29" spans="1:33" x14ac:dyDescent="0.3">
      <c r="A29" s="43"/>
      <c r="B29" s="61"/>
      <c r="C29" s="48"/>
      <c r="E29" s="56"/>
      <c r="F29" s="56"/>
      <c r="H29" s="56"/>
      <c r="I29" s="56"/>
      <c r="J29" s="56"/>
      <c r="K29" s="56"/>
      <c r="L29" s="57"/>
      <c r="M29" s="44"/>
      <c r="N29" s="44"/>
      <c r="P29" s="417" t="s">
        <v>1288</v>
      </c>
      <c r="Q29" s="418"/>
      <c r="R29" s="418"/>
      <c r="S29" s="418"/>
      <c r="T29" s="418"/>
      <c r="U29" s="418"/>
      <c r="V29" s="418"/>
      <c r="W29" s="418"/>
      <c r="X29" s="418"/>
      <c r="Y29" s="419"/>
      <c r="AF29" t="s">
        <v>1133</v>
      </c>
      <c r="AG29" s="195" t="str">
        <f>IF(H18=0,IF(J20=0,J22,J20),H18)</f>
        <v>21st Ave S - Bayview to Walker - Ineligible</v>
      </c>
    </row>
    <row r="30" spans="1:33" x14ac:dyDescent="0.3">
      <c r="A30" s="43"/>
      <c r="B30" s="351" t="s">
        <v>906</v>
      </c>
      <c r="C30" s="352"/>
      <c r="D30" s="62" t="s">
        <v>1101</v>
      </c>
      <c r="F30" s="362"/>
      <c r="G30" s="354"/>
      <c r="H30" s="63" t="s">
        <v>1102</v>
      </c>
      <c r="I30" s="343"/>
      <c r="J30" s="344"/>
      <c r="K30" s="48"/>
      <c r="L30" s="57"/>
      <c r="M30" s="44"/>
      <c r="N30" s="44"/>
      <c r="P30" s="420"/>
      <c r="Q30" s="421"/>
      <c r="R30" s="421"/>
      <c r="S30" s="421"/>
      <c r="T30" s="421"/>
      <c r="U30" s="421"/>
      <c r="V30" s="421"/>
      <c r="W30" s="421"/>
      <c r="X30" s="421"/>
      <c r="Y30" s="422"/>
      <c r="AF30" t="s">
        <v>1134</v>
      </c>
      <c r="AG30" s="195" t="str">
        <f>IF(I12=0,"New Billing Activity",I12)</f>
        <v>New Billing Activity</v>
      </c>
    </row>
    <row r="31" spans="1:33" x14ac:dyDescent="0.3">
      <c r="A31" s="43"/>
      <c r="B31" s="148" t="s">
        <v>9</v>
      </c>
      <c r="C31" s="65" t="s">
        <v>1131</v>
      </c>
      <c r="D31" s="335" t="s">
        <v>7</v>
      </c>
      <c r="E31" s="335"/>
      <c r="F31" s="335"/>
      <c r="G31" s="65" t="s">
        <v>8</v>
      </c>
      <c r="H31" s="65"/>
      <c r="I31" s="65" t="s">
        <v>10</v>
      </c>
      <c r="J31" s="65" t="s">
        <v>907</v>
      </c>
      <c r="K31" s="335" t="s">
        <v>1132</v>
      </c>
      <c r="L31" s="379"/>
      <c r="M31" s="44"/>
      <c r="N31" s="44"/>
      <c r="P31" s="420"/>
      <c r="Q31" s="421"/>
      <c r="R31" s="421"/>
      <c r="S31" s="421"/>
      <c r="T31" s="421"/>
      <c r="U31" s="421"/>
      <c r="V31" s="421"/>
      <c r="W31" s="421"/>
      <c r="X31" s="421"/>
      <c r="Y31" s="422"/>
      <c r="AF31" t="s">
        <v>1142</v>
      </c>
      <c r="AG31" s="195" t="str">
        <f>IF(D12=0,"New Collection Activity",D12)</f>
        <v>New Collection Activity</v>
      </c>
    </row>
    <row r="32" spans="1:33" x14ac:dyDescent="0.3">
      <c r="A32" s="43"/>
      <c r="B32" s="149">
        <v>1</v>
      </c>
      <c r="C32" s="150" t="s">
        <v>1137</v>
      </c>
      <c r="D32" s="337"/>
      <c r="E32" s="338"/>
      <c r="F32" s="339"/>
      <c r="G32" s="312"/>
      <c r="H32" s="313"/>
      <c r="I32" s="184"/>
      <c r="J32" s="191">
        <f>I32*I30</f>
        <v>0</v>
      </c>
      <c r="K32" s="380"/>
      <c r="L32" s="381"/>
      <c r="M32" s="44"/>
      <c r="N32" s="44"/>
      <c r="P32" s="420"/>
      <c r="Q32" s="421"/>
      <c r="R32" s="421"/>
      <c r="S32" s="421"/>
      <c r="T32" s="421"/>
      <c r="U32" s="421"/>
      <c r="V32" s="421"/>
      <c r="W32" s="421"/>
      <c r="X32" s="421"/>
      <c r="Y32" s="422"/>
    </row>
    <row r="33" spans="1:25" x14ac:dyDescent="0.3">
      <c r="A33" s="43"/>
      <c r="B33" s="149">
        <v>2</v>
      </c>
      <c r="C33" s="150" t="s">
        <v>1137</v>
      </c>
      <c r="D33" s="337"/>
      <c r="E33" s="338"/>
      <c r="F33" s="339"/>
      <c r="G33" s="312"/>
      <c r="H33" s="313"/>
      <c r="I33" s="184"/>
      <c r="J33" s="191">
        <f>I33*I30</f>
        <v>0</v>
      </c>
      <c r="K33" s="380"/>
      <c r="L33" s="381"/>
      <c r="M33" s="44"/>
      <c r="N33" s="44"/>
      <c r="P33" s="423"/>
      <c r="Q33" s="424"/>
      <c r="R33" s="424"/>
      <c r="S33" s="424"/>
      <c r="T33" s="424"/>
      <c r="U33" s="424"/>
      <c r="V33" s="424"/>
      <c r="W33" s="424"/>
      <c r="X33" s="424"/>
      <c r="Y33" s="425"/>
    </row>
    <row r="34" spans="1:25" x14ac:dyDescent="0.3">
      <c r="A34" s="43"/>
      <c r="B34" s="153"/>
      <c r="C34" s="48"/>
      <c r="D34" s="69"/>
      <c r="E34" s="69"/>
      <c r="F34" s="69"/>
      <c r="G34" s="151"/>
      <c r="H34" s="151"/>
      <c r="I34" s="70">
        <f>IF(SUM(I31:I33)=1," ",SUM(I31:I33))</f>
        <v>0</v>
      </c>
      <c r="J34" s="151"/>
      <c r="K34" s="48"/>
      <c r="L34" s="57"/>
      <c r="M34" s="44"/>
      <c r="N34" s="44"/>
      <c r="Q34" s="71"/>
    </row>
    <row r="35" spans="1:25" x14ac:dyDescent="0.3">
      <c r="A35" s="43"/>
      <c r="B35" s="351" t="s">
        <v>908</v>
      </c>
      <c r="C35" s="352"/>
      <c r="D35" s="62" t="s">
        <v>1101</v>
      </c>
      <c r="F35" s="353"/>
      <c r="G35" s="354"/>
      <c r="H35" s="63" t="s">
        <v>1102</v>
      </c>
      <c r="I35" s="343"/>
      <c r="J35" s="344"/>
      <c r="K35" s="48"/>
      <c r="L35" s="57"/>
      <c r="M35" s="44"/>
      <c r="N35" s="44"/>
      <c r="P35" s="426" t="s">
        <v>1285</v>
      </c>
      <c r="Q35" s="427"/>
      <c r="R35" s="427"/>
      <c r="S35" s="427"/>
      <c r="T35" s="427"/>
      <c r="U35" s="427"/>
      <c r="V35" s="427"/>
      <c r="W35" s="427"/>
      <c r="X35" s="427"/>
      <c r="Y35" s="428"/>
    </row>
    <row r="36" spans="1:25" x14ac:dyDescent="0.3">
      <c r="A36" s="43"/>
      <c r="B36" s="148" t="s">
        <v>9</v>
      </c>
      <c r="C36" s="65" t="s">
        <v>1131</v>
      </c>
      <c r="D36" s="335" t="s">
        <v>7</v>
      </c>
      <c r="E36" s="335"/>
      <c r="F36" s="335"/>
      <c r="G36" s="65" t="s">
        <v>8</v>
      </c>
      <c r="H36" s="65"/>
      <c r="I36" s="65" t="s">
        <v>10</v>
      </c>
      <c r="J36" s="65" t="s">
        <v>907</v>
      </c>
      <c r="K36" s="335" t="s">
        <v>1132</v>
      </c>
      <c r="L36" s="379"/>
      <c r="M36" s="44"/>
      <c r="N36" s="44"/>
      <c r="P36" s="429"/>
      <c r="Q36" s="430"/>
      <c r="R36" s="430"/>
      <c r="S36" s="430"/>
      <c r="T36" s="430"/>
      <c r="U36" s="430"/>
      <c r="V36" s="430"/>
      <c r="W36" s="430"/>
      <c r="X36" s="430"/>
      <c r="Y36" s="431"/>
    </row>
    <row r="37" spans="1:25" x14ac:dyDescent="0.3">
      <c r="A37" s="43"/>
      <c r="B37" s="149">
        <v>1</v>
      </c>
      <c r="C37" s="152"/>
      <c r="D37" s="337"/>
      <c r="E37" s="338"/>
      <c r="F37" s="339"/>
      <c r="G37" s="312"/>
      <c r="H37" s="313"/>
      <c r="I37" s="184"/>
      <c r="J37" s="191">
        <f>I37*I35</f>
        <v>0</v>
      </c>
      <c r="K37" s="380"/>
      <c r="L37" s="381"/>
      <c r="M37" s="44"/>
      <c r="N37" s="44"/>
      <c r="P37" s="429"/>
      <c r="Q37" s="430"/>
      <c r="R37" s="430"/>
      <c r="S37" s="430"/>
      <c r="T37" s="430"/>
      <c r="U37" s="430"/>
      <c r="V37" s="430"/>
      <c r="W37" s="430"/>
      <c r="X37" s="430"/>
      <c r="Y37" s="431"/>
    </row>
    <row r="38" spans="1:25" x14ac:dyDescent="0.3">
      <c r="A38" s="43"/>
      <c r="B38" s="149">
        <v>2</v>
      </c>
      <c r="C38" s="152"/>
      <c r="D38" s="337"/>
      <c r="E38" s="338"/>
      <c r="F38" s="339"/>
      <c r="G38" s="312"/>
      <c r="H38" s="313"/>
      <c r="I38" s="184"/>
      <c r="J38" s="191">
        <f>I38*I35</f>
        <v>0</v>
      </c>
      <c r="K38" s="382"/>
      <c r="L38" s="383"/>
      <c r="M38" s="44"/>
      <c r="N38" s="44"/>
      <c r="P38" s="429"/>
      <c r="Q38" s="430"/>
      <c r="R38" s="430"/>
      <c r="S38" s="430"/>
      <c r="T38" s="430"/>
      <c r="U38" s="430"/>
      <c r="V38" s="430"/>
      <c r="W38" s="430"/>
      <c r="X38" s="430"/>
      <c r="Y38" s="431"/>
    </row>
    <row r="39" spans="1:25" x14ac:dyDescent="0.3">
      <c r="A39" s="43"/>
      <c r="B39" s="149">
        <v>3</v>
      </c>
      <c r="C39" s="152"/>
      <c r="D39" s="337"/>
      <c r="E39" s="338"/>
      <c r="F39" s="339"/>
      <c r="G39" s="312"/>
      <c r="H39" s="313"/>
      <c r="I39" s="184"/>
      <c r="J39" s="192">
        <f>I39*I35</f>
        <v>0</v>
      </c>
      <c r="K39" s="382"/>
      <c r="L39" s="383"/>
      <c r="M39" s="44"/>
      <c r="N39" s="44"/>
      <c r="P39" s="429"/>
      <c r="Q39" s="430"/>
      <c r="R39" s="430"/>
      <c r="S39" s="430"/>
      <c r="T39" s="430"/>
      <c r="U39" s="430"/>
      <c r="V39" s="430"/>
      <c r="W39" s="430"/>
      <c r="X39" s="430"/>
      <c r="Y39" s="431"/>
    </row>
    <row r="40" spans="1:25" x14ac:dyDescent="0.3">
      <c r="A40" s="43"/>
      <c r="B40" s="64"/>
      <c r="C40" s="48"/>
      <c r="D40" s="69"/>
      <c r="E40" s="69"/>
      <c r="F40" s="69"/>
      <c r="G40" s="151"/>
      <c r="H40" s="151"/>
      <c r="I40" s="70">
        <f>IF(SUM(I37:I39)=1," ",SUM(I37:I39))</f>
        <v>0</v>
      </c>
      <c r="J40" s="151"/>
      <c r="K40" s="48"/>
      <c r="L40" s="57"/>
      <c r="M40" s="44"/>
      <c r="N40" s="44"/>
      <c r="P40" s="219" t="s">
        <v>1251</v>
      </c>
      <c r="Q40" s="220"/>
      <c r="R40" s="221"/>
      <c r="S40" s="221"/>
      <c r="T40" s="221"/>
      <c r="U40" s="221"/>
      <c r="V40" s="221"/>
      <c r="W40" s="221"/>
      <c r="X40" s="221"/>
      <c r="Y40" s="222"/>
    </row>
    <row r="41" spans="1:25" x14ac:dyDescent="0.3">
      <c r="A41" s="43"/>
      <c r="B41" s="351" t="s">
        <v>910</v>
      </c>
      <c r="C41" s="352"/>
      <c r="D41" s="62" t="s">
        <v>1101</v>
      </c>
      <c r="F41" s="353"/>
      <c r="G41" s="354"/>
      <c r="H41" s="63" t="s">
        <v>1102</v>
      </c>
      <c r="I41" s="343"/>
      <c r="J41" s="344"/>
      <c r="K41" s="48"/>
      <c r="L41" s="57"/>
      <c r="M41" s="44"/>
      <c r="N41" s="44"/>
    </row>
    <row r="42" spans="1:25" ht="15" customHeight="1" x14ac:dyDescent="0.3">
      <c r="A42" s="43"/>
      <c r="B42" s="148" t="s">
        <v>9</v>
      </c>
      <c r="C42" s="65" t="s">
        <v>1131</v>
      </c>
      <c r="D42" s="335" t="s">
        <v>7</v>
      </c>
      <c r="E42" s="335"/>
      <c r="F42" s="335"/>
      <c r="G42" s="65" t="s">
        <v>8</v>
      </c>
      <c r="H42" s="65"/>
      <c r="I42" s="65" t="s">
        <v>10</v>
      </c>
      <c r="J42" s="65" t="s">
        <v>907</v>
      </c>
      <c r="K42" s="335" t="s">
        <v>1132</v>
      </c>
      <c r="L42" s="379"/>
      <c r="M42" s="44"/>
      <c r="N42" s="44"/>
      <c r="P42" s="417" t="s">
        <v>1287</v>
      </c>
      <c r="Q42" s="418"/>
      <c r="R42" s="418"/>
      <c r="S42" s="418"/>
      <c r="T42" s="418"/>
      <c r="U42" s="418"/>
      <c r="V42" s="418"/>
      <c r="W42" s="418"/>
      <c r="X42" s="418"/>
      <c r="Y42" s="419"/>
    </row>
    <row r="43" spans="1:25" x14ac:dyDescent="0.3">
      <c r="A43" s="43"/>
      <c r="B43" s="149">
        <v>1</v>
      </c>
      <c r="C43" s="152"/>
      <c r="D43" s="337"/>
      <c r="E43" s="338"/>
      <c r="F43" s="339"/>
      <c r="G43" s="312"/>
      <c r="H43" s="313"/>
      <c r="I43" s="184"/>
      <c r="J43" s="191">
        <f>I43*I41</f>
        <v>0</v>
      </c>
      <c r="K43" s="382"/>
      <c r="L43" s="383"/>
      <c r="M43" s="44"/>
      <c r="N43" s="44"/>
      <c r="P43" s="420"/>
      <c r="Q43" s="421"/>
      <c r="R43" s="421"/>
      <c r="S43" s="421"/>
      <c r="T43" s="421"/>
      <c r="U43" s="421"/>
      <c r="V43" s="421"/>
      <c r="W43" s="421"/>
      <c r="X43" s="421"/>
      <c r="Y43" s="422"/>
    </row>
    <row r="44" spans="1:25" x14ac:dyDescent="0.3">
      <c r="A44" s="43"/>
      <c r="B44" s="149">
        <v>2</v>
      </c>
      <c r="C44" s="152"/>
      <c r="D44" s="337"/>
      <c r="E44" s="338"/>
      <c r="F44" s="339"/>
      <c r="G44" s="312"/>
      <c r="H44" s="313"/>
      <c r="I44" s="184"/>
      <c r="J44" s="191">
        <f>I44*I41</f>
        <v>0</v>
      </c>
      <c r="K44" s="382"/>
      <c r="L44" s="383"/>
      <c r="M44" s="44"/>
      <c r="N44" s="44"/>
      <c r="P44" s="420"/>
      <c r="Q44" s="421"/>
      <c r="R44" s="421"/>
      <c r="S44" s="421"/>
      <c r="T44" s="421"/>
      <c r="U44" s="421"/>
      <c r="V44" s="421"/>
      <c r="W44" s="421"/>
      <c r="X44" s="421"/>
      <c r="Y44" s="422"/>
    </row>
    <row r="45" spans="1:25" x14ac:dyDescent="0.3">
      <c r="A45" s="43"/>
      <c r="B45" s="149">
        <v>3</v>
      </c>
      <c r="C45" s="152"/>
      <c r="D45" s="337"/>
      <c r="E45" s="338"/>
      <c r="F45" s="339"/>
      <c r="G45" s="312"/>
      <c r="H45" s="313"/>
      <c r="I45" s="184"/>
      <c r="J45" s="192">
        <f>I45*I41</f>
        <v>0</v>
      </c>
      <c r="K45" s="382"/>
      <c r="L45" s="383"/>
      <c r="M45" s="44"/>
      <c r="N45" s="44"/>
      <c r="P45" s="420"/>
      <c r="Q45" s="421"/>
      <c r="R45" s="421"/>
      <c r="S45" s="421"/>
      <c r="T45" s="421"/>
      <c r="U45" s="421"/>
      <c r="V45" s="421"/>
      <c r="W45" s="421"/>
      <c r="X45" s="421"/>
      <c r="Y45" s="422"/>
    </row>
    <row r="46" spans="1:25" x14ac:dyDescent="0.3">
      <c r="A46" s="43"/>
      <c r="B46" s="153"/>
      <c r="C46" s="48"/>
      <c r="D46" s="69"/>
      <c r="E46" s="69"/>
      <c r="F46" s="69"/>
      <c r="G46" s="151"/>
      <c r="H46" s="151"/>
      <c r="I46" s="70">
        <f>IF(SUM(I43:I45)=1," ",SUM(I43:I45))</f>
        <v>0</v>
      </c>
      <c r="J46" s="151"/>
      <c r="K46" s="48"/>
      <c r="L46" s="57"/>
      <c r="M46" s="44"/>
      <c r="N46" s="44"/>
      <c r="P46" s="420"/>
      <c r="Q46" s="421"/>
      <c r="R46" s="421"/>
      <c r="S46" s="421"/>
      <c r="T46" s="421"/>
      <c r="U46" s="421"/>
      <c r="V46" s="421"/>
      <c r="W46" s="421"/>
      <c r="X46" s="421"/>
      <c r="Y46" s="422"/>
    </row>
    <row r="47" spans="1:25" x14ac:dyDescent="0.3">
      <c r="A47" s="43"/>
      <c r="B47" s="351" t="s">
        <v>1138</v>
      </c>
      <c r="C47" s="352"/>
      <c r="D47" s="62" t="s">
        <v>1101</v>
      </c>
      <c r="F47" s="353"/>
      <c r="G47" s="354"/>
      <c r="H47" s="63" t="s">
        <v>1102</v>
      </c>
      <c r="I47" s="343"/>
      <c r="J47" s="344"/>
      <c r="K47" s="48"/>
      <c r="L47" s="57"/>
      <c r="M47" s="44"/>
      <c r="N47" s="44"/>
      <c r="P47" s="420"/>
      <c r="Q47" s="421"/>
      <c r="R47" s="421"/>
      <c r="S47" s="421"/>
      <c r="T47" s="421"/>
      <c r="U47" s="421"/>
      <c r="V47" s="421"/>
      <c r="W47" s="421"/>
      <c r="X47" s="421"/>
      <c r="Y47" s="422"/>
    </row>
    <row r="48" spans="1:25" x14ac:dyDescent="0.3">
      <c r="A48" s="43"/>
      <c r="B48" s="148" t="s">
        <v>9</v>
      </c>
      <c r="C48" s="65" t="s">
        <v>1131</v>
      </c>
      <c r="D48" s="335" t="s">
        <v>7</v>
      </c>
      <c r="E48" s="335"/>
      <c r="F48" s="335"/>
      <c r="G48" s="65" t="s">
        <v>8</v>
      </c>
      <c r="H48" s="65"/>
      <c r="I48" s="65" t="s">
        <v>10</v>
      </c>
      <c r="J48" s="65" t="s">
        <v>907</v>
      </c>
      <c r="K48" s="335" t="s">
        <v>1132</v>
      </c>
      <c r="L48" s="379"/>
      <c r="M48" s="44"/>
      <c r="N48" s="44"/>
      <c r="P48" s="423"/>
      <c r="Q48" s="424"/>
      <c r="R48" s="424"/>
      <c r="S48" s="424"/>
      <c r="T48" s="424"/>
      <c r="U48" s="424"/>
      <c r="V48" s="424"/>
      <c r="W48" s="424"/>
      <c r="X48" s="424"/>
      <c r="Y48" s="425"/>
    </row>
    <row r="49" spans="1:25" ht="15" customHeight="1" x14ac:dyDescent="0.3">
      <c r="A49" s="43"/>
      <c r="B49" s="149">
        <v>1</v>
      </c>
      <c r="C49" s="152"/>
      <c r="D49" s="337"/>
      <c r="E49" s="338"/>
      <c r="F49" s="339"/>
      <c r="G49" s="312"/>
      <c r="H49" s="313"/>
      <c r="I49" s="184"/>
      <c r="J49" s="191">
        <f>I49*I47</f>
        <v>0</v>
      </c>
      <c r="K49" s="380"/>
      <c r="L49" s="381"/>
      <c r="M49" s="44"/>
      <c r="N49" s="44"/>
      <c r="Q49" s="223"/>
      <c r="R49" s="223"/>
      <c r="S49" s="223"/>
      <c r="T49" s="223"/>
      <c r="U49" s="223"/>
      <c r="V49" s="223"/>
      <c r="W49" s="223"/>
      <c r="X49" s="223"/>
      <c r="Y49" s="223"/>
    </row>
    <row r="50" spans="1:25" ht="15" customHeight="1" x14ac:dyDescent="0.3">
      <c r="A50" s="43"/>
      <c r="B50" s="149">
        <v>2</v>
      </c>
      <c r="C50" s="152"/>
      <c r="D50" s="337"/>
      <c r="E50" s="338"/>
      <c r="F50" s="339"/>
      <c r="G50" s="312"/>
      <c r="H50" s="313"/>
      <c r="I50" s="184"/>
      <c r="J50" s="191">
        <f>I50*I47</f>
        <v>0</v>
      </c>
      <c r="K50" s="380"/>
      <c r="L50" s="381"/>
      <c r="M50" s="44"/>
      <c r="N50" s="44"/>
      <c r="P50" s="417" t="s">
        <v>1286</v>
      </c>
      <c r="Q50" s="418"/>
      <c r="R50" s="418"/>
      <c r="S50" s="418"/>
      <c r="T50" s="418"/>
      <c r="U50" s="418"/>
      <c r="V50" s="418"/>
      <c r="W50" s="418"/>
      <c r="X50" s="418"/>
      <c r="Y50" s="419"/>
    </row>
    <row r="51" spans="1:25" x14ac:dyDescent="0.3">
      <c r="A51" s="43"/>
      <c r="B51" s="149">
        <v>3</v>
      </c>
      <c r="C51" s="152"/>
      <c r="D51" s="337"/>
      <c r="E51" s="338"/>
      <c r="F51" s="339"/>
      <c r="G51" s="312"/>
      <c r="H51" s="313"/>
      <c r="I51" s="184"/>
      <c r="J51" s="192">
        <f>I51*I47</f>
        <v>0</v>
      </c>
      <c r="K51" s="392"/>
      <c r="L51" s="393"/>
      <c r="M51" s="44"/>
      <c r="N51" s="44"/>
      <c r="P51" s="420"/>
      <c r="Q51" s="421"/>
      <c r="R51" s="421"/>
      <c r="S51" s="421"/>
      <c r="T51" s="421"/>
      <c r="U51" s="421"/>
      <c r="V51" s="421"/>
      <c r="W51" s="421"/>
      <c r="X51" s="421"/>
      <c r="Y51" s="422"/>
    </row>
    <row r="52" spans="1:25" x14ac:dyDescent="0.3">
      <c r="A52" s="43"/>
      <c r="B52" s="64"/>
      <c r="C52" s="48"/>
      <c r="D52" s="69"/>
      <c r="E52" s="69"/>
      <c r="F52" s="69"/>
      <c r="G52" s="151"/>
      <c r="H52" s="151"/>
      <c r="I52" s="70">
        <f>IF(SUM(I49:I51)=1," ",SUM(I49:I51))</f>
        <v>0</v>
      </c>
      <c r="J52" s="151"/>
      <c r="K52" s="48"/>
      <c r="L52" s="57"/>
      <c r="M52" s="44"/>
      <c r="N52" s="44"/>
      <c r="P52" s="420"/>
      <c r="Q52" s="421"/>
      <c r="R52" s="421"/>
      <c r="S52" s="421"/>
      <c r="T52" s="421"/>
      <c r="U52" s="421"/>
      <c r="V52" s="421"/>
      <c r="W52" s="421"/>
      <c r="X52" s="421"/>
      <c r="Y52" s="422"/>
    </row>
    <row r="53" spans="1:25" x14ac:dyDescent="0.3">
      <c r="A53" s="43"/>
      <c r="B53" s="351" t="s">
        <v>1145</v>
      </c>
      <c r="C53" s="352"/>
      <c r="D53" s="62" t="s">
        <v>1101</v>
      </c>
      <c r="F53" s="353"/>
      <c r="G53" s="354"/>
      <c r="H53" s="63" t="s">
        <v>1102</v>
      </c>
      <c r="I53" s="343"/>
      <c r="J53" s="344"/>
      <c r="K53" s="48"/>
      <c r="L53" s="57"/>
      <c r="M53" s="44"/>
      <c r="N53" s="44"/>
      <c r="P53" s="420"/>
      <c r="Q53" s="421"/>
      <c r="R53" s="421"/>
      <c r="S53" s="421"/>
      <c r="T53" s="421"/>
      <c r="U53" s="421"/>
      <c r="V53" s="421"/>
      <c r="W53" s="421"/>
      <c r="X53" s="421"/>
      <c r="Y53" s="422"/>
    </row>
    <row r="54" spans="1:25" x14ac:dyDescent="0.3">
      <c r="A54" s="43"/>
      <c r="B54" s="148" t="s">
        <v>9</v>
      </c>
      <c r="C54" s="65" t="s">
        <v>1131</v>
      </c>
      <c r="D54" s="335" t="s">
        <v>7</v>
      </c>
      <c r="E54" s="335"/>
      <c r="F54" s="335"/>
      <c r="G54" s="65" t="s">
        <v>8</v>
      </c>
      <c r="H54" s="65"/>
      <c r="I54" s="65" t="s">
        <v>10</v>
      </c>
      <c r="J54" s="65" t="s">
        <v>907</v>
      </c>
      <c r="K54" s="335" t="s">
        <v>1132</v>
      </c>
      <c r="L54" s="379"/>
      <c r="M54" s="44"/>
      <c r="N54" s="44"/>
      <c r="P54" s="420"/>
      <c r="Q54" s="421"/>
      <c r="R54" s="421"/>
      <c r="S54" s="421"/>
      <c r="T54" s="421"/>
      <c r="U54" s="421"/>
      <c r="V54" s="421"/>
      <c r="W54" s="421"/>
      <c r="X54" s="421"/>
      <c r="Y54" s="422"/>
    </row>
    <row r="55" spans="1:25" x14ac:dyDescent="0.3">
      <c r="A55" s="43"/>
      <c r="B55" s="149">
        <v>1</v>
      </c>
      <c r="C55" s="152"/>
      <c r="D55" s="337"/>
      <c r="E55" s="338"/>
      <c r="F55" s="339"/>
      <c r="G55" s="312"/>
      <c r="H55" s="313"/>
      <c r="I55" s="184"/>
      <c r="J55" s="191">
        <f>I53*I55</f>
        <v>0</v>
      </c>
      <c r="K55" s="382"/>
      <c r="L55" s="383"/>
      <c r="M55" s="44"/>
      <c r="N55" s="44"/>
      <c r="P55" s="420"/>
      <c r="Q55" s="421"/>
      <c r="R55" s="421"/>
      <c r="S55" s="421"/>
      <c r="T55" s="421"/>
      <c r="U55" s="421"/>
      <c r="V55" s="421"/>
      <c r="W55" s="421"/>
      <c r="X55" s="421"/>
      <c r="Y55" s="422"/>
    </row>
    <row r="56" spans="1:25" x14ac:dyDescent="0.3">
      <c r="A56" s="43"/>
      <c r="B56" s="149">
        <v>2</v>
      </c>
      <c r="C56" s="152"/>
      <c r="D56" s="337"/>
      <c r="E56" s="338"/>
      <c r="F56" s="339"/>
      <c r="G56" s="312"/>
      <c r="H56" s="313"/>
      <c r="I56" s="184"/>
      <c r="J56" s="191">
        <f>I56*I53</f>
        <v>0</v>
      </c>
      <c r="K56" s="382"/>
      <c r="L56" s="383"/>
      <c r="M56" s="44"/>
      <c r="N56" s="44"/>
      <c r="P56" s="420"/>
      <c r="Q56" s="421"/>
      <c r="R56" s="421"/>
      <c r="S56" s="421"/>
      <c r="T56" s="421"/>
      <c r="U56" s="421"/>
      <c r="V56" s="421"/>
      <c r="W56" s="421"/>
      <c r="X56" s="421"/>
      <c r="Y56" s="422"/>
    </row>
    <row r="57" spans="1:25" x14ac:dyDescent="0.3">
      <c r="A57" s="43"/>
      <c r="B57" s="149">
        <v>3</v>
      </c>
      <c r="C57" s="152"/>
      <c r="D57" s="337"/>
      <c r="E57" s="338"/>
      <c r="F57" s="339"/>
      <c r="G57" s="312"/>
      <c r="H57" s="313"/>
      <c r="I57" s="184"/>
      <c r="J57" s="192">
        <f>I57*I53</f>
        <v>0</v>
      </c>
      <c r="K57" s="382"/>
      <c r="L57" s="383"/>
      <c r="M57" s="44"/>
      <c r="N57" s="44"/>
      <c r="P57" s="420"/>
      <c r="Q57" s="421"/>
      <c r="R57" s="421"/>
      <c r="S57" s="421"/>
      <c r="T57" s="421"/>
      <c r="U57" s="421"/>
      <c r="V57" s="421"/>
      <c r="W57" s="421"/>
      <c r="X57" s="421"/>
      <c r="Y57" s="422"/>
    </row>
    <row r="58" spans="1:25" x14ac:dyDescent="0.3">
      <c r="A58" s="43"/>
      <c r="B58" s="64"/>
      <c r="C58" s="48"/>
      <c r="D58" s="69"/>
      <c r="E58" s="69"/>
      <c r="F58" s="69"/>
      <c r="G58" s="151"/>
      <c r="H58" s="151"/>
      <c r="I58" s="70">
        <f>IF(SUM(I55:I57)=1," ",SUM(I55:I57))</f>
        <v>0</v>
      </c>
      <c r="J58" s="151"/>
      <c r="K58" s="48"/>
      <c r="L58" s="57"/>
      <c r="M58" s="44"/>
      <c r="N58" s="44"/>
      <c r="P58" s="423"/>
      <c r="Q58" s="424"/>
      <c r="R58" s="424"/>
      <c r="S58" s="424"/>
      <c r="T58" s="424"/>
      <c r="U58" s="424"/>
      <c r="V58" s="424"/>
      <c r="W58" s="424"/>
      <c r="X58" s="424"/>
      <c r="Y58" s="425"/>
    </row>
    <row r="59" spans="1:25" x14ac:dyDescent="0.3">
      <c r="A59" s="43"/>
      <c r="B59" s="351" t="s">
        <v>1146</v>
      </c>
      <c r="C59" s="352"/>
      <c r="D59" s="62" t="s">
        <v>1101</v>
      </c>
      <c r="F59" s="353"/>
      <c r="G59" s="354"/>
      <c r="H59" s="63" t="s">
        <v>1102</v>
      </c>
      <c r="I59" s="343"/>
      <c r="J59" s="344"/>
      <c r="K59" s="48"/>
      <c r="L59" s="57"/>
      <c r="M59" s="44"/>
      <c r="N59" s="44"/>
    </row>
    <row r="60" spans="1:25" x14ac:dyDescent="0.3">
      <c r="A60" s="43"/>
      <c r="B60" s="148" t="s">
        <v>9</v>
      </c>
      <c r="C60" s="65" t="s">
        <v>1131</v>
      </c>
      <c r="D60" s="335" t="s">
        <v>7</v>
      </c>
      <c r="E60" s="335"/>
      <c r="F60" s="335"/>
      <c r="G60" s="65" t="s">
        <v>8</v>
      </c>
      <c r="H60" s="65"/>
      <c r="I60" s="65" t="s">
        <v>10</v>
      </c>
      <c r="J60" s="65" t="s">
        <v>907</v>
      </c>
      <c r="K60" s="335" t="s">
        <v>1132</v>
      </c>
      <c r="L60" s="379"/>
      <c r="M60" s="44"/>
      <c r="N60" s="44"/>
    </row>
    <row r="61" spans="1:25" x14ac:dyDescent="0.3">
      <c r="A61" s="43"/>
      <c r="B61" s="149">
        <v>1</v>
      </c>
      <c r="C61" s="152"/>
      <c r="D61" s="337"/>
      <c r="E61" s="338"/>
      <c r="F61" s="339"/>
      <c r="G61" s="312"/>
      <c r="H61" s="313"/>
      <c r="I61" s="184"/>
      <c r="J61" s="191">
        <f>I59*I61</f>
        <v>0</v>
      </c>
      <c r="K61" s="382"/>
      <c r="L61" s="383"/>
      <c r="M61" s="44"/>
      <c r="N61" s="44"/>
    </row>
    <row r="62" spans="1:25" x14ac:dyDescent="0.3">
      <c r="A62" s="43"/>
      <c r="B62" s="149">
        <v>2</v>
      </c>
      <c r="C62" s="152"/>
      <c r="D62" s="337"/>
      <c r="E62" s="338"/>
      <c r="F62" s="339"/>
      <c r="G62" s="312"/>
      <c r="H62" s="313"/>
      <c r="I62" s="184"/>
      <c r="J62" s="191">
        <f>I62*I59</f>
        <v>0</v>
      </c>
      <c r="K62" s="382"/>
      <c r="L62" s="383"/>
      <c r="M62" s="44"/>
      <c r="N62" s="44"/>
    </row>
    <row r="63" spans="1:25" x14ac:dyDescent="0.3">
      <c r="A63" s="43"/>
      <c r="B63" s="149">
        <v>3</v>
      </c>
      <c r="C63" s="152"/>
      <c r="D63" s="337"/>
      <c r="E63" s="338"/>
      <c r="F63" s="339"/>
      <c r="G63" s="312"/>
      <c r="H63" s="313"/>
      <c r="I63" s="184"/>
      <c r="J63" s="192">
        <f>I63*I59</f>
        <v>0</v>
      </c>
      <c r="K63" s="382"/>
      <c r="L63" s="383"/>
      <c r="M63" s="44"/>
      <c r="N63" s="44"/>
    </row>
    <row r="64" spans="1:25" x14ac:dyDescent="0.3">
      <c r="A64" s="43"/>
      <c r="B64" s="64"/>
      <c r="C64" s="48"/>
      <c r="D64" s="69"/>
      <c r="E64" s="69"/>
      <c r="F64" s="69"/>
      <c r="G64" s="151"/>
      <c r="H64" s="151"/>
      <c r="I64" s="70">
        <f>IF(SUM(I61:I63)=1," ",SUM(I61:I63))</f>
        <v>0</v>
      </c>
      <c r="J64" s="151"/>
      <c r="K64" s="48"/>
      <c r="L64" s="57"/>
      <c r="M64" s="44"/>
      <c r="N64" s="44"/>
      <c r="Q64" s="190"/>
    </row>
    <row r="65" spans="1:14" x14ac:dyDescent="0.3">
      <c r="A65" s="43"/>
      <c r="B65" s="351" t="s">
        <v>1147</v>
      </c>
      <c r="C65" s="352"/>
      <c r="D65" s="62" t="s">
        <v>1101</v>
      </c>
      <c r="F65" s="353"/>
      <c r="G65" s="354"/>
      <c r="H65" s="63" t="s">
        <v>1102</v>
      </c>
      <c r="I65" s="343"/>
      <c r="J65" s="344"/>
      <c r="K65" s="48"/>
      <c r="L65" s="57"/>
      <c r="M65" s="44"/>
      <c r="N65" s="44"/>
    </row>
    <row r="66" spans="1:14" x14ac:dyDescent="0.3">
      <c r="A66" s="43"/>
      <c r="B66" s="148" t="s">
        <v>9</v>
      </c>
      <c r="C66" s="65" t="s">
        <v>1131</v>
      </c>
      <c r="D66" s="335" t="s">
        <v>7</v>
      </c>
      <c r="E66" s="335"/>
      <c r="F66" s="335"/>
      <c r="G66" s="65" t="s">
        <v>8</v>
      </c>
      <c r="H66" s="65"/>
      <c r="I66" s="65" t="s">
        <v>10</v>
      </c>
      <c r="J66" s="65" t="s">
        <v>907</v>
      </c>
      <c r="K66" s="335" t="s">
        <v>1132</v>
      </c>
      <c r="L66" s="379"/>
      <c r="M66" s="44"/>
      <c r="N66" s="44"/>
    </row>
    <row r="67" spans="1:14" x14ac:dyDescent="0.3">
      <c r="A67" s="43"/>
      <c r="B67" s="149">
        <v>1</v>
      </c>
      <c r="C67" s="152"/>
      <c r="D67" s="337"/>
      <c r="E67" s="338"/>
      <c r="F67" s="339"/>
      <c r="G67" s="312"/>
      <c r="H67" s="313"/>
      <c r="I67" s="184"/>
      <c r="J67" s="191">
        <f>I65*I67</f>
        <v>0</v>
      </c>
      <c r="K67" s="382"/>
      <c r="L67" s="383"/>
      <c r="M67" s="44"/>
      <c r="N67" s="44"/>
    </row>
    <row r="68" spans="1:14" x14ac:dyDescent="0.3">
      <c r="A68" s="43"/>
      <c r="B68" s="149">
        <v>2</v>
      </c>
      <c r="C68" s="152"/>
      <c r="D68" s="337"/>
      <c r="E68" s="338"/>
      <c r="F68" s="339"/>
      <c r="G68" s="312"/>
      <c r="H68" s="313"/>
      <c r="I68" s="184"/>
      <c r="J68" s="191">
        <f>I68*I65</f>
        <v>0</v>
      </c>
      <c r="K68" s="382"/>
      <c r="L68" s="383"/>
      <c r="M68" s="44"/>
      <c r="N68" s="44"/>
    </row>
    <row r="69" spans="1:14" x14ac:dyDescent="0.3">
      <c r="A69" s="43"/>
      <c r="B69" s="149">
        <v>3</v>
      </c>
      <c r="C69" s="152"/>
      <c r="D69" s="337"/>
      <c r="E69" s="338"/>
      <c r="F69" s="339"/>
      <c r="G69" s="312"/>
      <c r="H69" s="313"/>
      <c r="I69" s="184"/>
      <c r="J69" s="192">
        <f>I69*I65</f>
        <v>0</v>
      </c>
      <c r="K69" s="382"/>
      <c r="L69" s="383"/>
      <c r="M69" s="44"/>
      <c r="N69" s="44"/>
    </row>
    <row r="70" spans="1:14" ht="15" thickBot="1" x14ac:dyDescent="0.35">
      <c r="A70" s="43"/>
      <c r="B70" s="176"/>
      <c r="C70" s="177"/>
      <c r="D70" s="178"/>
      <c r="E70" s="178"/>
      <c r="F70" s="178"/>
      <c r="G70" s="179"/>
      <c r="H70" s="179"/>
      <c r="I70" s="180">
        <f>IF(SUM(I67:I69)=1," ",SUM(I67:I69))</f>
        <v>0</v>
      </c>
      <c r="J70" s="179"/>
      <c r="K70" s="181"/>
      <c r="L70" s="182"/>
      <c r="M70" s="44"/>
      <c r="N70" s="44"/>
    </row>
    <row r="71" spans="1:14" x14ac:dyDescent="0.3">
      <c r="A71" s="80"/>
      <c r="B71" s="81" t="s">
        <v>900</v>
      </c>
      <c r="C71" s="82"/>
      <c r="D71" s="82"/>
      <c r="E71" s="82"/>
      <c r="F71" s="82"/>
      <c r="G71" s="82"/>
      <c r="H71" s="82"/>
      <c r="I71" s="82"/>
      <c r="J71" s="82"/>
      <c r="K71" s="82"/>
      <c r="L71" s="82"/>
      <c r="M71" s="174"/>
      <c r="N71" s="83"/>
    </row>
  </sheetData>
  <mergeCells count="151">
    <mergeCell ref="P42:Y48"/>
    <mergeCell ref="P50:Y58"/>
    <mergeCell ref="P29:Y33"/>
    <mergeCell ref="P35:Y39"/>
    <mergeCell ref="B65:C65"/>
    <mergeCell ref="F65:G65"/>
    <mergeCell ref="I65:J65"/>
    <mergeCell ref="D68:F68"/>
    <mergeCell ref="G68:H68"/>
    <mergeCell ref="K68:L68"/>
    <mergeCell ref="D60:F60"/>
    <mergeCell ref="K60:L60"/>
    <mergeCell ref="D61:F61"/>
    <mergeCell ref="G61:H61"/>
    <mergeCell ref="K61:L61"/>
    <mergeCell ref="D56:F56"/>
    <mergeCell ref="G56:H56"/>
    <mergeCell ref="K56:L56"/>
    <mergeCell ref="D57:F57"/>
    <mergeCell ref="G57:H57"/>
    <mergeCell ref="K57:L57"/>
    <mergeCell ref="B59:C59"/>
    <mergeCell ref="F59:G59"/>
    <mergeCell ref="I59:J59"/>
    <mergeCell ref="D69:F69"/>
    <mergeCell ref="G69:H69"/>
    <mergeCell ref="K69:L69"/>
    <mergeCell ref="D66:F66"/>
    <mergeCell ref="K66:L66"/>
    <mergeCell ref="D67:F67"/>
    <mergeCell ref="G67:H67"/>
    <mergeCell ref="K67:L67"/>
    <mergeCell ref="D62:F62"/>
    <mergeCell ref="G62:H62"/>
    <mergeCell ref="K62:L62"/>
    <mergeCell ref="D63:F63"/>
    <mergeCell ref="G63:H63"/>
    <mergeCell ref="K63:L63"/>
    <mergeCell ref="B53:C53"/>
    <mergeCell ref="F53:G53"/>
    <mergeCell ref="I53:J53"/>
    <mergeCell ref="D54:F54"/>
    <mergeCell ref="K54:L54"/>
    <mergeCell ref="D55:F55"/>
    <mergeCell ref="G55:H55"/>
    <mergeCell ref="K55:L55"/>
    <mergeCell ref="I27:L27"/>
    <mergeCell ref="B41:C41"/>
    <mergeCell ref="F41:G41"/>
    <mergeCell ref="I41:J41"/>
    <mergeCell ref="D42:F42"/>
    <mergeCell ref="K42:L42"/>
    <mergeCell ref="D43:F43"/>
    <mergeCell ref="G43:H43"/>
    <mergeCell ref="K43:L43"/>
    <mergeCell ref="D36:F36"/>
    <mergeCell ref="G37:H37"/>
    <mergeCell ref="D38:F38"/>
    <mergeCell ref="G38:H38"/>
    <mergeCell ref="D39:F39"/>
    <mergeCell ref="K32:L32"/>
    <mergeCell ref="K33:L33"/>
    <mergeCell ref="B2:H2"/>
    <mergeCell ref="I2:K2"/>
    <mergeCell ref="B3:H3"/>
    <mergeCell ref="I3:L3"/>
    <mergeCell ref="B22:C22"/>
    <mergeCell ref="D22:G22"/>
    <mergeCell ref="J22:L22"/>
    <mergeCell ref="B6:D6"/>
    <mergeCell ref="E6:G6"/>
    <mergeCell ref="H6:J6"/>
    <mergeCell ref="K6:L6"/>
    <mergeCell ref="B7:D7"/>
    <mergeCell ref="E7:G7"/>
    <mergeCell ref="H7:J7"/>
    <mergeCell ref="K7:L7"/>
    <mergeCell ref="B13:C13"/>
    <mergeCell ref="D20:G20"/>
    <mergeCell ref="D21:G21"/>
    <mergeCell ref="H21:I21"/>
    <mergeCell ref="J21:L21"/>
    <mergeCell ref="I11:L11"/>
    <mergeCell ref="I12:L12"/>
    <mergeCell ref="I13:L13"/>
    <mergeCell ref="B14:C14"/>
    <mergeCell ref="I25:L25"/>
    <mergeCell ref="B25:H25"/>
    <mergeCell ref="H22:I22"/>
    <mergeCell ref="B4:L4"/>
    <mergeCell ref="B5:D5"/>
    <mergeCell ref="E5:G5"/>
    <mergeCell ref="K51:L51"/>
    <mergeCell ref="K31:L31"/>
    <mergeCell ref="H5:J5"/>
    <mergeCell ref="K5:L5"/>
    <mergeCell ref="B11:C11"/>
    <mergeCell ref="D11:G11"/>
    <mergeCell ref="B21:C21"/>
    <mergeCell ref="D49:F49"/>
    <mergeCell ref="G49:H49"/>
    <mergeCell ref="E19:L19"/>
    <mergeCell ref="H18:I18"/>
    <mergeCell ref="D51:F51"/>
    <mergeCell ref="G51:H51"/>
    <mergeCell ref="B47:C47"/>
    <mergeCell ref="F47:G47"/>
    <mergeCell ref="D48:F48"/>
    <mergeCell ref="B24:L24"/>
    <mergeCell ref="B35:C35"/>
    <mergeCell ref="K36:L36"/>
    <mergeCell ref="F35:G35"/>
    <mergeCell ref="I35:J35"/>
    <mergeCell ref="B30:C30"/>
    <mergeCell ref="F30:G30"/>
    <mergeCell ref="I30:J30"/>
    <mergeCell ref="D31:F31"/>
    <mergeCell ref="D32:F32"/>
    <mergeCell ref="G32:H32"/>
    <mergeCell ref="D33:F33"/>
    <mergeCell ref="G33:H33"/>
    <mergeCell ref="K48:L48"/>
    <mergeCell ref="D37:F37"/>
    <mergeCell ref="K49:L49"/>
    <mergeCell ref="K50:L50"/>
    <mergeCell ref="I47:J47"/>
    <mergeCell ref="D44:F44"/>
    <mergeCell ref="G44:H44"/>
    <mergeCell ref="K44:L44"/>
    <mergeCell ref="D45:F45"/>
    <mergeCell ref="G45:H45"/>
    <mergeCell ref="K45:L45"/>
    <mergeCell ref="D50:F50"/>
    <mergeCell ref="G50:H50"/>
    <mergeCell ref="K37:L37"/>
    <mergeCell ref="K38:L38"/>
    <mergeCell ref="G39:H39"/>
    <mergeCell ref="K39:L39"/>
    <mergeCell ref="H20:I20"/>
    <mergeCell ref="J20:L20"/>
    <mergeCell ref="D14:G14"/>
    <mergeCell ref="B18:D19"/>
    <mergeCell ref="B9:G9"/>
    <mergeCell ref="H9:L9"/>
    <mergeCell ref="B12:C12"/>
    <mergeCell ref="D12:G12"/>
    <mergeCell ref="D13:G13"/>
    <mergeCell ref="D10:G10"/>
    <mergeCell ref="I10:L10"/>
    <mergeCell ref="I14:L14"/>
    <mergeCell ref="B16:L16"/>
  </mergeCells>
  <conditionalFormatting sqref="I34">
    <cfRule type="cellIs" dxfId="34" priority="30" operator="lessThan">
      <formula>0</formula>
    </cfRule>
    <cfRule type="cellIs" dxfId="33" priority="29" operator="equal">
      <formula>0</formula>
    </cfRule>
    <cfRule type="cellIs" dxfId="32" priority="28" operator="between">
      <formula>0.000001</formula>
      <formula>0.99999999</formula>
    </cfRule>
    <cfRule type="cellIs" dxfId="31" priority="27" operator="equal">
      <formula>1</formula>
    </cfRule>
    <cfRule type="cellIs" dxfId="30" priority="26" operator="greaterThan">
      <formula>1</formula>
    </cfRule>
  </conditionalFormatting>
  <conditionalFormatting sqref="I40">
    <cfRule type="cellIs" dxfId="29" priority="45" operator="lessThan">
      <formula>0</formula>
    </cfRule>
    <cfRule type="cellIs" dxfId="28" priority="44" operator="equal">
      <formula>0</formula>
    </cfRule>
    <cfRule type="cellIs" dxfId="27" priority="43" operator="between">
      <formula>0.000001</formula>
      <formula>0.99999999</formula>
    </cfRule>
    <cfRule type="cellIs" dxfId="26" priority="42" operator="equal">
      <formula>1</formula>
    </cfRule>
    <cfRule type="cellIs" dxfId="25" priority="41" operator="greaterThan">
      <formula>1</formula>
    </cfRule>
  </conditionalFormatting>
  <conditionalFormatting sqref="I46">
    <cfRule type="cellIs" dxfId="24" priority="16" operator="greaterThan">
      <formula>1</formula>
    </cfRule>
    <cfRule type="cellIs" dxfId="23" priority="17" operator="equal">
      <formula>1</formula>
    </cfRule>
    <cfRule type="cellIs" dxfId="22" priority="18" operator="between">
      <formula>0.000001</formula>
      <formula>0.99999999</formula>
    </cfRule>
    <cfRule type="cellIs" dxfId="21" priority="19" operator="equal">
      <formula>0</formula>
    </cfRule>
    <cfRule type="cellIs" dxfId="20" priority="20" operator="lessThan">
      <formula>0</formula>
    </cfRule>
  </conditionalFormatting>
  <conditionalFormatting sqref="I52">
    <cfRule type="cellIs" dxfId="19" priority="15" operator="lessThan">
      <formula>0</formula>
    </cfRule>
    <cfRule type="cellIs" dxfId="18" priority="14" operator="equal">
      <formula>0</formula>
    </cfRule>
    <cfRule type="cellIs" dxfId="17" priority="13" operator="between">
      <formula>0.000001</formula>
      <formula>0.99999999</formula>
    </cfRule>
    <cfRule type="cellIs" dxfId="16" priority="12" operator="equal">
      <formula>1</formula>
    </cfRule>
    <cfRule type="cellIs" dxfId="15" priority="11" operator="greaterThan">
      <formula>1</formula>
    </cfRule>
  </conditionalFormatting>
  <conditionalFormatting sqref="I58">
    <cfRule type="cellIs" dxfId="14" priority="6" operator="greaterThan">
      <formula>1</formula>
    </cfRule>
    <cfRule type="cellIs" dxfId="13" priority="10" operator="lessThan">
      <formula>0</formula>
    </cfRule>
    <cfRule type="cellIs" dxfId="12" priority="9" operator="equal">
      <formula>0</formula>
    </cfRule>
    <cfRule type="cellIs" dxfId="11" priority="8" operator="between">
      <formula>0.000001</formula>
      <formula>0.99999999</formula>
    </cfRule>
    <cfRule type="cellIs" dxfId="10" priority="7" operator="equal">
      <formula>1</formula>
    </cfRule>
  </conditionalFormatting>
  <conditionalFormatting sqref="I64">
    <cfRule type="cellIs" dxfId="9" priority="2" operator="equal">
      <formula>1</formula>
    </cfRule>
    <cfRule type="cellIs" dxfId="8" priority="3" operator="between">
      <formula>0.000001</formula>
      <formula>0.99999999</formula>
    </cfRule>
    <cfRule type="cellIs" dxfId="7" priority="4" operator="equal">
      <formula>0</formula>
    </cfRule>
    <cfRule type="cellIs" dxfId="6" priority="5" operator="lessThan">
      <formula>0</formula>
    </cfRule>
    <cfRule type="cellIs" dxfId="5" priority="1" operator="greaterThan">
      <formula>1</formula>
    </cfRule>
  </conditionalFormatting>
  <conditionalFormatting sqref="I70">
    <cfRule type="cellIs" dxfId="4" priority="36" operator="greaterThan">
      <formula>1</formula>
    </cfRule>
    <cfRule type="cellIs" dxfId="3" priority="37" operator="equal">
      <formula>1</formula>
    </cfRule>
    <cfRule type="cellIs" dxfId="2" priority="38" operator="between">
      <formula>0.000001</formula>
      <formula>0.99999999</formula>
    </cfRule>
    <cfRule type="cellIs" dxfId="1" priority="39" operator="equal">
      <formula>0</formula>
    </cfRule>
    <cfRule type="cellIs" dxfId="0" priority="40" operator="lessThan">
      <formula>0</formula>
    </cfRule>
  </conditionalFormatting>
  <dataValidations xWindow="966" yWindow="476" count="8">
    <dataValidation type="list" allowBlank="1" showInputMessage="1" showErrorMessage="1" promptTitle="Activity Type" sqref="G23" xr:uid="{C6B12964-3FC4-49C6-A29A-18CFAA1300E2}">
      <formula1>INDIRECT("$C$13&amp;$C$14")</formula1>
    </dataValidation>
    <dataValidation type="list" allowBlank="1" showInputMessage="1" showErrorMessage="1" sqref="G23" xr:uid="{597C168C-D7BC-4677-9243-F594D855E644}">
      <formula1>INDIRECT("StandardUnique"&amp;#REF!)</formula1>
    </dataValidation>
    <dataValidation type="list" allowBlank="1" showInputMessage="1" showErrorMessage="1" promptTitle="Activity Type" sqref="D10:G10" xr:uid="{11DC05BD-ACA2-4F43-9283-BE39FFCCFD6B}">
      <formula1>INDIRECT("ActivityType")</formula1>
    </dataValidation>
    <dataValidation allowBlank="1" showErrorMessage="1" errorTitle="SDOT Activity Set-Up Form" error="The Project ID you entered does not exist in the DimProjects table in the data warehouse. Once the project has been created in the data warehouse, do a Data | Refresh in this form to update the form's project list." promptTitle="Select from the dropdown list" prompt="If your project is not on the dropdown, ask the Finance data analyst to have it added to the DimProjects table in the Project Financials data warehouse." sqref="E5" xr:uid="{C78AF3A4-A680-4891-BCA9-60CA7AAA6818}"/>
    <dataValidation showDropDown="1" showInputMessage="1" showErrorMessage="1" sqref="J17:L18 I17" xr:uid="{8BA54564-5865-4706-B439-B6AD4107E6C5}"/>
    <dataValidation allowBlank="1" showInputMessage="1" showErrorMessage="1" promptTitle="Activity Type" sqref="I10 M10 D20:G21" xr:uid="{0FA37734-CC03-40F1-BE2F-9188B66D28ED}"/>
    <dataValidation type="list" allowBlank="1" showInputMessage="1" showErrorMessage="1" sqref="D12:G12" xr:uid="{63B3617A-2DF2-42F2-B435-C1D8AB0F4385}">
      <formula1>INDIRECT(SUBSTITUTE($D$11&amp;$D$10," ",""))</formula1>
    </dataValidation>
    <dataValidation type="list" allowBlank="1" showInputMessage="1" showErrorMessage="1" sqref="K43:L45 K37:L39 K49:L51 K55:L57 K61:L63 K67:L69 K32:L33" xr:uid="{A01BA837-A75B-4CB3-924E-FFF09CD16BE9}">
      <formula1>INDIRECT("targetactivity")</formula1>
    </dataValidation>
  </dataValidations>
  <hyperlinks>
    <hyperlink ref="P40" r:id="rId1" xr:uid="{446D08DC-D205-42B7-8EAD-A5095B34E05A}"/>
  </hyperlinks>
  <pageMargins left="0.25" right="0.25" top="0.75" bottom="0.75" header="0.3" footer="0.3"/>
  <pageSetup paperSize="5" scale="68" orientation="portrait" cellComments="asDisplayed" r:id="rId2"/>
  <drawing r:id="rId3"/>
  <tableParts count="1">
    <tablePart r:id="rId4"/>
  </tableParts>
  <extLst>
    <ext xmlns:x14="http://schemas.microsoft.com/office/spreadsheetml/2009/9/main" uri="{CCE6A557-97BC-4b89-ADB6-D9C93CAAB3DF}">
      <x14:dataValidations xmlns:xm="http://schemas.microsoft.com/office/excel/2006/main" xWindow="966" yWindow="476" count="14">
        <x14:dataValidation type="list" allowBlank="1" showInputMessage="1" showErrorMessage="1" xr:uid="{B474876B-F0FE-4C4D-AFB4-F6BCF3CF4500}">
          <x14:formula1>
            <xm:f>PullDowns!$B$2:$B$3</xm:f>
          </x14:formula1>
          <xm:sqref>I27:L27</xm:sqref>
        </x14:dataValidation>
        <x14:dataValidation type="list" allowBlank="1" showInputMessage="1" showErrorMessage="1" xr:uid="{59315E29-4AFA-4624-BD1A-7D4EF5FEAD8F}">
          <x14:formula1>
            <xm:f>OFFSET('V:\Finance\SRI\Project Documents\Business Processes - Finance Only\Forms &amp; Cheat Sheets\[DRAFT NEW PROJECT SETUP FORM -  Finance Testing 10_18_17.xlsx]PullDowns'!#REF!,0,0,COUNTA('V:\Finance\SRI\Project Documents\Business Processes - Finance Only\Forms &amp; Cheat Sheets\[DRAFT NEW PROJECT SETUP FORM -  Finance Testing 10_18_17.xlsx]PullDowns'!#REF!)-1)</xm:f>
          </x14:formula1>
          <xm:sqref>G70:H70 G34:H34 G40:H40 G46:H46 G52:H52 G58:H58 G64:H64</xm:sqref>
        </x14:dataValidation>
        <x14:dataValidation type="list" allowBlank="1" showInputMessage="1" showErrorMessage="1" xr:uid="{365A7300-03F2-464B-B253-2F7A6CA0C2D4}">
          <x14:formula1>
            <xm:f>'V:\Finance\SRI\Project Documents\Business Processes - Finance Only\Forms &amp; Cheat Sheets\[DRAFT NEW PROJECT SETUP FORM -  Finance Testing 10_18_17.xlsx]PullDowns'!#REF!</xm:f>
          </x14:formula1>
          <xm:sqref>D70:F70 D34:F34 D40:F40 D46:F46 D52:F52 D58:F58 D64:F64</xm:sqref>
        </x14:dataValidation>
        <x14:dataValidation type="list" allowBlank="1" showInputMessage="1" showErrorMessage="1" promptTitle="Activity Type" xr:uid="{413C9151-1C30-4977-8C03-140860CAB16F}">
          <x14:formula1>
            <xm:f>PullDowns!$O$2:$O$3</xm:f>
          </x14:formula1>
          <xm:sqref>D11:G11</xm:sqref>
        </x14:dataValidation>
        <x14:dataValidation type="list" allowBlank="1" showInputMessage="1" showErrorMessage="1" xr:uid="{BAD7C722-6C14-4B7C-8A2D-F293162131C0}">
          <x14:formula1>
            <xm:f>PullDowns!$O$2:$O$3</xm:f>
          </x14:formula1>
          <xm:sqref>D21:G21 D11:G11</xm:sqref>
        </x14:dataValidation>
        <x14:dataValidation type="list" allowBlank="1" showInputMessage="1" showErrorMessage="1" promptTitle="Activity Type" prompt="Typically matches collection. Billing activities can be unique for standard collection activities if we are billing more than one grant at a time." xr:uid="{12D3970D-E02B-4060-9E89-8A8557323807}">
          <x14:formula1>
            <xm:f>PullDowns!$O$2:$O$3</xm:f>
          </x14:formula1>
          <xm:sqref>I11 M11</xm:sqref>
        </x14:dataValidation>
        <x14:dataValidation type="list" allowBlank="1" showInputMessage="1" showErrorMessage="1" promptTitle="Billing: Standard or Unique?" prompt="Typically matchess collection. Billing activities can be unique for standard collection activities if billing more than one grant at a time." xr:uid="{06A4A5D3-8CE4-4D21-A5D9-F103B958A69D}">
          <x14:formula1>
            <xm:f>PullDowns!$O$2:$O$3</xm:f>
          </x14:formula1>
          <xm:sqref>I11 M11</xm:sqref>
        </x14:dataValidation>
        <x14:dataValidation type="list" allowBlank="1" showInputMessage="1" showErrorMessage="1" xr:uid="{A2DEBD71-A06A-43BA-AC4E-A0D4B2AB1BD1}">
          <x14:formula1>
            <xm:f>PullDowns!$Q$2:$Q$7</xm:f>
          </x14:formula1>
          <xm:sqref>C37:C39 C43:C45 C49:C51 C55:C57 C61:C63 C67:C69</xm:sqref>
        </x14:dataValidation>
        <x14:dataValidation type="list" allowBlank="1" showErrorMessage="1" promptTitle="Prime Fund" prompt="SpeedTypes/ SpeedCharts will be set up for collection and inelgibile activities, but not for grant billing activities." xr:uid="{DA2494D6-54BB-40E6-B43D-A705AF4D3E7A}">
          <x14:formula1>
            <xm:f>PullDowns!$F$2:$F$7</xm:f>
          </x14:formula1>
          <xm:sqref>I26</xm:sqref>
        </x14:dataValidation>
        <x14:dataValidation type="list" allowBlank="1" showInputMessage="1" showErrorMessage="1" xr:uid="{1553FCF3-F4C5-405C-8C43-F0EB6D556AEA}">
          <x14:formula1>
            <xm:f>PullDowns!$F$2:$F$7</xm:f>
          </x14:formula1>
          <xm:sqref>I25</xm:sqref>
        </x14:dataValidation>
        <x14:dataValidation type="list" allowBlank="1" showInputMessage="1" showErrorMessage="1" xr:uid="{CB67D1D1-A1E5-44E1-8F27-83D9CF40FD88}">
          <x14:formula1>
            <xm:f>PullDowns!$G$2:$G$41</xm:f>
          </x14:formula1>
          <xm:sqref>D32:F33 D37:F39 D43:F45 D49:F51 D55:F57 D61:F63 D67:F69</xm:sqref>
        </x14:dataValidation>
        <x14:dataValidation type="list" allowBlank="1" showInputMessage="1" showErrorMessage="1" promptTitle="Labor Charges Ok?" prompt="If &quot;NO&quot; project status will be changed to &quot;N&quot; and HRIS will not process timecards for this project. " xr:uid="{57AABEE0-C019-42ED-BD40-4C65732AA3A3}">
          <x14:formula1>
            <xm:f>OFFSET(PullDowns!$D$2,0,0,COUNTA(PullDowns!$D:$D)-1)</xm:f>
          </x14:formula1>
          <xm:sqref>D15:D21</xm:sqref>
        </x14:dataValidation>
        <x14:dataValidation type="list" allowBlank="1" showInputMessage="1" showErrorMessage="1" promptTitle="Labor Charges Ok?" prompt="If &quot;NO&quot; project status will be changed to &quot;N&quot; and HRIS will not process timecards for this project. Select &quot;NO&quot; for consultant and contract activities." xr:uid="{116B30F5-299D-4E47-82EE-985802AB3185}">
          <x14:formula1>
            <xm:f>OFFSET(PullDowns!$D$2,0,0,COUNTA(PullDowns!$D:$D)-1)</xm:f>
          </x14:formula1>
          <xm:sqref>D14:G14</xm:sqref>
        </x14:dataValidation>
        <x14:dataValidation type="list" errorStyle="information" allowBlank="1" showInputMessage="1" showErrorMessage="1" promptTitle="Funding Source" prompt="Please use drop down menu unless it is necessary to use a new fund source not on the list.  For new fund sources, you can enter the name despite the error message (select ok to error message)." xr:uid="{6AFFD43A-8180-4906-8F54-2C13EB8D0E18}">
          <x14:formula1>
            <xm:f>PullDowns!$H$2:$H$44</xm:f>
          </x14:formula1>
          <xm:sqref>G32:H33 G67:H69 G61:H63 G55:H57 G49:H51 G43:H45 G37:H39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S856"/>
  <sheetViews>
    <sheetView topLeftCell="A25" workbookViewId="0">
      <selection activeCell="C56" sqref="C56"/>
    </sheetView>
  </sheetViews>
  <sheetFormatPr defaultColWidth="8.6640625" defaultRowHeight="14.4" x14ac:dyDescent="0.3"/>
  <cols>
    <col min="1" max="1" width="25.44140625" style="209" customWidth="1"/>
    <col min="2" max="2" width="14.33203125" style="212" bestFit="1" customWidth="1"/>
    <col min="3" max="3" width="28.44140625" style="212" bestFit="1" customWidth="1"/>
    <col min="4" max="4" width="18.5546875" style="212" customWidth="1"/>
    <col min="5" max="6" width="17.5546875" style="212" customWidth="1"/>
    <col min="7" max="7" width="61.33203125" style="212" bestFit="1" customWidth="1"/>
    <col min="8" max="8" width="70.6640625" style="212" bestFit="1" customWidth="1"/>
    <col min="9" max="9" width="12.33203125" style="212" customWidth="1"/>
    <col min="10" max="10" width="13.5546875" style="212" customWidth="1"/>
    <col min="11" max="11" width="14.6640625" style="209" customWidth="1"/>
    <col min="12" max="12" width="38.33203125" style="209" bestFit="1" customWidth="1"/>
    <col min="13" max="15" width="28.33203125" style="209" customWidth="1"/>
    <col min="16" max="16" width="43.6640625" style="209" customWidth="1"/>
    <col min="17" max="17" width="24.6640625" style="209" customWidth="1"/>
    <col min="18" max="16384" width="8.6640625" style="209"/>
  </cols>
  <sheetData>
    <row r="1" spans="1:19" x14ac:dyDescent="0.3">
      <c r="A1" s="209" t="s">
        <v>5</v>
      </c>
      <c r="B1" s="210" t="s">
        <v>38</v>
      </c>
      <c r="C1" s="216" t="s">
        <v>14</v>
      </c>
      <c r="D1" s="210" t="s">
        <v>17</v>
      </c>
      <c r="E1" s="210" t="s">
        <v>946</v>
      </c>
      <c r="F1" s="210" t="s">
        <v>940</v>
      </c>
      <c r="G1" s="216" t="s">
        <v>7</v>
      </c>
      <c r="H1" s="210" t="s">
        <v>20</v>
      </c>
      <c r="I1" s="216" t="s">
        <v>11</v>
      </c>
      <c r="J1" s="210" t="s">
        <v>12</v>
      </c>
      <c r="K1" s="216" t="s">
        <v>39</v>
      </c>
      <c r="L1" s="210" t="s">
        <v>33</v>
      </c>
      <c r="M1" s="216" t="s">
        <v>1071</v>
      </c>
      <c r="N1" s="216" t="s">
        <v>1072</v>
      </c>
      <c r="O1" s="216" t="s">
        <v>1073</v>
      </c>
      <c r="P1" s="210" t="s">
        <v>43</v>
      </c>
      <c r="Q1" s="210" t="s">
        <v>1131</v>
      </c>
      <c r="S1" t="s">
        <v>1257</v>
      </c>
    </row>
    <row r="2" spans="1:19" x14ac:dyDescent="0.3">
      <c r="A2" s="211" t="s">
        <v>22</v>
      </c>
      <c r="B2" s="212" t="s">
        <v>911</v>
      </c>
      <c r="C2" s="212" t="s">
        <v>25</v>
      </c>
      <c r="D2" s="213" t="s">
        <v>18</v>
      </c>
      <c r="E2" s="213" t="s">
        <v>18</v>
      </c>
      <c r="F2" s="209" t="s">
        <v>909</v>
      </c>
      <c r="G2" s="209" t="s">
        <v>909</v>
      </c>
      <c r="H2" s="214" t="s">
        <v>1282</v>
      </c>
      <c r="I2" s="212" t="s">
        <v>21</v>
      </c>
      <c r="J2" s="212" t="s">
        <v>21</v>
      </c>
      <c r="K2" s="209" t="s">
        <v>31</v>
      </c>
      <c r="L2" s="212" t="s">
        <v>34</v>
      </c>
      <c r="M2" s="212" t="s">
        <v>42</v>
      </c>
      <c r="N2" s="212" t="s">
        <v>41</v>
      </c>
      <c r="O2" s="212" t="s">
        <v>41</v>
      </c>
      <c r="P2" s="212" t="s">
        <v>44</v>
      </c>
      <c r="Q2" t="s">
        <v>1228</v>
      </c>
      <c r="S2" t="s">
        <v>18</v>
      </c>
    </row>
    <row r="3" spans="1:19" x14ac:dyDescent="0.3">
      <c r="B3" s="212" t="s">
        <v>912</v>
      </c>
      <c r="C3" s="214" t="s">
        <v>1084</v>
      </c>
      <c r="D3" s="213" t="s">
        <v>19</v>
      </c>
      <c r="E3" s="213" t="s">
        <v>19</v>
      </c>
      <c r="F3" s="209" t="s">
        <v>905</v>
      </c>
      <c r="G3" s="209" t="s">
        <v>913</v>
      </c>
      <c r="H3" s="212" t="s">
        <v>1235</v>
      </c>
      <c r="K3" t="s">
        <v>1074</v>
      </c>
      <c r="L3" s="209" t="s">
        <v>35</v>
      </c>
      <c r="N3" s="212" t="s">
        <v>42</v>
      </c>
      <c r="O3" s="212" t="s">
        <v>42</v>
      </c>
      <c r="P3" s="212" t="s">
        <v>45</v>
      </c>
      <c r="Q3" t="s">
        <v>1137</v>
      </c>
      <c r="S3" t="s">
        <v>19</v>
      </c>
    </row>
    <row r="4" spans="1:19" x14ac:dyDescent="0.3">
      <c r="C4" s="212" t="s">
        <v>28</v>
      </c>
      <c r="F4" s="209" t="s">
        <v>917</v>
      </c>
      <c r="G4" s="209" t="s">
        <v>914</v>
      </c>
      <c r="H4" s="214" t="s">
        <v>1272</v>
      </c>
      <c r="L4" s="209" t="s">
        <v>36</v>
      </c>
      <c r="P4" s="209" t="s">
        <v>46</v>
      </c>
      <c r="Q4" t="s">
        <v>1224</v>
      </c>
    </row>
    <row r="5" spans="1:19" x14ac:dyDescent="0.3">
      <c r="C5" s="212" t="s">
        <v>26</v>
      </c>
      <c r="F5" s="209" t="s">
        <v>920</v>
      </c>
      <c r="G5" s="209" t="s">
        <v>915</v>
      </c>
      <c r="H5" s="212" t="s">
        <v>1236</v>
      </c>
      <c r="L5" s="209" t="s">
        <v>37</v>
      </c>
      <c r="P5" s="209" t="s">
        <v>47</v>
      </c>
      <c r="Q5" t="s">
        <v>1225</v>
      </c>
    </row>
    <row r="6" spans="1:19" x14ac:dyDescent="0.3">
      <c r="C6" s="212" t="s">
        <v>27</v>
      </c>
      <c r="F6" s="209" t="s">
        <v>921</v>
      </c>
      <c r="G6" s="209" t="s">
        <v>905</v>
      </c>
      <c r="H6" s="212" t="s">
        <v>1237</v>
      </c>
      <c r="P6" s="209" t="s">
        <v>48</v>
      </c>
      <c r="Q6" t="s">
        <v>1226</v>
      </c>
    </row>
    <row r="7" spans="1:19" x14ac:dyDescent="0.3">
      <c r="C7" s="212" t="s">
        <v>29</v>
      </c>
      <c r="G7" s="209" t="s">
        <v>916</v>
      </c>
      <c r="H7" s="212" t="s">
        <v>1238</v>
      </c>
      <c r="P7" s="209" t="s">
        <v>49</v>
      </c>
      <c r="Q7" t="s">
        <v>1227</v>
      </c>
    </row>
    <row r="8" spans="1:19" x14ac:dyDescent="0.3">
      <c r="C8" s="212" t="s">
        <v>30</v>
      </c>
      <c r="G8" s="209" t="s">
        <v>917</v>
      </c>
      <c r="H8" s="212" t="s">
        <v>1239</v>
      </c>
      <c r="P8" s="209" t="s">
        <v>50</v>
      </c>
      <c r="Q8"/>
    </row>
    <row r="9" spans="1:19" x14ac:dyDescent="0.3">
      <c r="C9" s="214" t="s">
        <v>1081</v>
      </c>
      <c r="G9" s="209" t="s">
        <v>918</v>
      </c>
      <c r="H9" s="214" t="s">
        <v>1239</v>
      </c>
      <c r="P9" s="209" t="s">
        <v>51</v>
      </c>
      <c r="Q9"/>
    </row>
    <row r="10" spans="1:19" x14ac:dyDescent="0.3">
      <c r="C10" s="214" t="s">
        <v>1082</v>
      </c>
      <c r="G10" s="209" t="s">
        <v>919</v>
      </c>
      <c r="H10" s="214" t="s">
        <v>1240</v>
      </c>
      <c r="P10" s="209" t="s">
        <v>52</v>
      </c>
      <c r="Q10"/>
    </row>
    <row r="11" spans="1:19" x14ac:dyDescent="0.3">
      <c r="C11" s="212" t="s">
        <v>31</v>
      </c>
      <c r="G11" s="209" t="s">
        <v>920</v>
      </c>
      <c r="H11" s="214" t="s">
        <v>1240</v>
      </c>
      <c r="P11" s="209" t="s">
        <v>53</v>
      </c>
      <c r="Q11"/>
    </row>
    <row r="12" spans="1:19" x14ac:dyDescent="0.3">
      <c r="C12" s="212" t="s">
        <v>15</v>
      </c>
      <c r="G12" s="209" t="s">
        <v>921</v>
      </c>
      <c r="H12" s="214" t="s">
        <v>1241</v>
      </c>
      <c r="P12" s="209" t="s">
        <v>54</v>
      </c>
      <c r="Q12"/>
    </row>
    <row r="13" spans="1:19" x14ac:dyDescent="0.3">
      <c r="A13" s="215"/>
      <c r="G13" s="209" t="s">
        <v>922</v>
      </c>
      <c r="H13" s="214" t="s">
        <v>1241</v>
      </c>
      <c r="P13" s="209" t="s">
        <v>55</v>
      </c>
      <c r="Q13"/>
    </row>
    <row r="14" spans="1:19" x14ac:dyDescent="0.3">
      <c r="G14" s="209" t="s">
        <v>923</v>
      </c>
      <c r="H14" s="214" t="s">
        <v>1242</v>
      </c>
      <c r="P14" s="209" t="s">
        <v>56</v>
      </c>
      <c r="Q14"/>
    </row>
    <row r="15" spans="1:19" x14ac:dyDescent="0.3">
      <c r="G15" t="s">
        <v>1248</v>
      </c>
      <c r="H15" s="214" t="s">
        <v>1242</v>
      </c>
      <c r="P15" s="209" t="s">
        <v>57</v>
      </c>
      <c r="Q15"/>
    </row>
    <row r="16" spans="1:19" x14ac:dyDescent="0.3">
      <c r="G16" s="209" t="s">
        <v>924</v>
      </c>
      <c r="H16" s="214" t="s">
        <v>1243</v>
      </c>
      <c r="P16" s="209" t="s">
        <v>58</v>
      </c>
      <c r="Q16"/>
    </row>
    <row r="17" spans="7:17" x14ac:dyDescent="0.3">
      <c r="G17" s="209" t="s">
        <v>925</v>
      </c>
      <c r="H17" s="214" t="s">
        <v>1243</v>
      </c>
      <c r="P17" s="209" t="s">
        <v>59</v>
      </c>
      <c r="Q17"/>
    </row>
    <row r="18" spans="7:17" x14ac:dyDescent="0.3">
      <c r="G18" s="209" t="s">
        <v>926</v>
      </c>
      <c r="H18" s="212" t="s">
        <v>1152</v>
      </c>
      <c r="P18" s="209" t="s">
        <v>60</v>
      </c>
      <c r="Q18"/>
    </row>
    <row r="19" spans="7:17" x14ac:dyDescent="0.3">
      <c r="G19" s="209" t="s">
        <v>927</v>
      </c>
      <c r="H19" s="212" t="s">
        <v>1153</v>
      </c>
      <c r="P19" s="209" t="s">
        <v>61</v>
      </c>
      <c r="Q19"/>
    </row>
    <row r="20" spans="7:17" x14ac:dyDescent="0.3">
      <c r="G20" s="209" t="s">
        <v>928</v>
      </c>
      <c r="H20" s="212" t="s">
        <v>1150</v>
      </c>
      <c r="P20" s="209" t="s">
        <v>62</v>
      </c>
      <c r="Q20"/>
    </row>
    <row r="21" spans="7:17" x14ac:dyDescent="0.3">
      <c r="G21" s="209" t="s">
        <v>929</v>
      </c>
      <c r="H21" s="212" t="s">
        <v>1151</v>
      </c>
      <c r="P21" s="209" t="s">
        <v>63</v>
      </c>
      <c r="Q21"/>
    </row>
    <row r="22" spans="7:17" x14ac:dyDescent="0.3">
      <c r="G22" s="209" t="s">
        <v>930</v>
      </c>
      <c r="H22" s="212" t="s">
        <v>1154</v>
      </c>
      <c r="P22" s="209" t="s">
        <v>64</v>
      </c>
      <c r="Q22"/>
    </row>
    <row r="23" spans="7:17" x14ac:dyDescent="0.3">
      <c r="G23" s="209" t="s">
        <v>931</v>
      </c>
      <c r="H23" s="212" t="s">
        <v>1155</v>
      </c>
      <c r="P23" s="209" t="s">
        <v>65</v>
      </c>
      <c r="Q23"/>
    </row>
    <row r="24" spans="7:17" x14ac:dyDescent="0.3">
      <c r="G24" s="209" t="s">
        <v>932</v>
      </c>
      <c r="H24" s="212" t="s">
        <v>1156</v>
      </c>
      <c r="P24" s="209" t="s">
        <v>66</v>
      </c>
      <c r="Q24"/>
    </row>
    <row r="25" spans="7:17" x14ac:dyDescent="0.3">
      <c r="G25" s="209" t="s">
        <v>933</v>
      </c>
      <c r="H25" s="212" t="s">
        <v>1157</v>
      </c>
      <c r="P25" s="209" t="s">
        <v>67</v>
      </c>
      <c r="Q25"/>
    </row>
    <row r="26" spans="7:17" x14ac:dyDescent="0.3">
      <c r="G26" s="209" t="s">
        <v>934</v>
      </c>
      <c r="H26" s="212" t="s">
        <v>1148</v>
      </c>
      <c r="P26" s="209" t="s">
        <v>68</v>
      </c>
      <c r="Q26"/>
    </row>
    <row r="27" spans="7:17" x14ac:dyDescent="0.3">
      <c r="G27" s="209" t="s">
        <v>935</v>
      </c>
      <c r="H27" s="212" t="s">
        <v>1149</v>
      </c>
      <c r="P27" s="209" t="s">
        <v>69</v>
      </c>
      <c r="Q27"/>
    </row>
    <row r="28" spans="7:17" x14ac:dyDescent="0.3">
      <c r="G28" s="209" t="s">
        <v>936</v>
      </c>
      <c r="H28" s="212" t="s">
        <v>1158</v>
      </c>
      <c r="P28" s="209" t="s">
        <v>70</v>
      </c>
      <c r="Q28"/>
    </row>
    <row r="29" spans="7:17" x14ac:dyDescent="0.3">
      <c r="G29" s="209" t="s">
        <v>937</v>
      </c>
      <c r="H29" s="212" t="s">
        <v>1159</v>
      </c>
      <c r="P29" s="209" t="s">
        <v>71</v>
      </c>
      <c r="Q29"/>
    </row>
    <row r="30" spans="7:17" x14ac:dyDescent="0.3">
      <c r="G30" s="209" t="s">
        <v>938</v>
      </c>
      <c r="H30" s="212" t="s">
        <v>1160</v>
      </c>
      <c r="P30" s="209" t="s">
        <v>72</v>
      </c>
      <c r="Q30"/>
    </row>
    <row r="31" spans="7:17" x14ac:dyDescent="0.3">
      <c r="G31" t="s">
        <v>1245</v>
      </c>
      <c r="H31" s="212" t="s">
        <v>1161</v>
      </c>
      <c r="P31" s="209" t="s">
        <v>73</v>
      </c>
      <c r="Q31"/>
    </row>
    <row r="32" spans="7:17" x14ac:dyDescent="0.3">
      <c r="G32" s="209" t="s">
        <v>939</v>
      </c>
      <c r="H32" s="214" t="s">
        <v>1273</v>
      </c>
      <c r="P32" s="209" t="s">
        <v>74</v>
      </c>
      <c r="Q32"/>
    </row>
    <row r="33" spans="7:17" x14ac:dyDescent="0.3">
      <c r="G33" t="s">
        <v>1247</v>
      </c>
      <c r="H33" s="212" t="s">
        <v>1162</v>
      </c>
      <c r="P33" s="209" t="s">
        <v>75</v>
      </c>
      <c r="Q33"/>
    </row>
    <row r="34" spans="7:17" x14ac:dyDescent="0.3">
      <c r="G34" t="s">
        <v>1244</v>
      </c>
      <c r="H34" s="212" t="s">
        <v>1163</v>
      </c>
      <c r="P34" s="209" t="s">
        <v>76</v>
      </c>
      <c r="Q34"/>
    </row>
    <row r="35" spans="7:17" x14ac:dyDescent="0.3">
      <c r="G35" t="s">
        <v>1246</v>
      </c>
      <c r="H35" s="212" t="s">
        <v>1165</v>
      </c>
      <c r="P35" s="209" t="s">
        <v>77</v>
      </c>
      <c r="Q35"/>
    </row>
    <row r="36" spans="7:17" x14ac:dyDescent="0.3">
      <c r="G36" t="s">
        <v>1249</v>
      </c>
      <c r="H36" s="214" t="s">
        <v>1284</v>
      </c>
      <c r="P36" s="209" t="s">
        <v>78</v>
      </c>
      <c r="Q36"/>
    </row>
    <row r="37" spans="7:17" x14ac:dyDescent="0.3">
      <c r="G37" t="s">
        <v>1250</v>
      </c>
      <c r="H37" s="212" t="s">
        <v>1164</v>
      </c>
      <c r="P37" s="209" t="s">
        <v>79</v>
      </c>
      <c r="Q37"/>
    </row>
    <row r="38" spans="7:17" x14ac:dyDescent="0.3">
      <c r="G38" s="214" t="s">
        <v>1253</v>
      </c>
      <c r="H38" s="214" t="s">
        <v>1275</v>
      </c>
      <c r="P38" s="209" t="s">
        <v>80</v>
      </c>
      <c r="Q38"/>
    </row>
    <row r="39" spans="7:17" x14ac:dyDescent="0.3">
      <c r="G39" s="214" t="s">
        <v>1279</v>
      </c>
      <c r="H39" s="212" t="s">
        <v>1166</v>
      </c>
      <c r="P39" s="209" t="s">
        <v>81</v>
      </c>
      <c r="Q39"/>
    </row>
    <row r="40" spans="7:17" x14ac:dyDescent="0.3">
      <c r="G40" s="214" t="s">
        <v>1280</v>
      </c>
      <c r="H40" s="214" t="s">
        <v>1274</v>
      </c>
      <c r="P40" s="209" t="s">
        <v>82</v>
      </c>
      <c r="Q40"/>
    </row>
    <row r="41" spans="7:17" x14ac:dyDescent="0.3">
      <c r="G41" s="214" t="s">
        <v>1281</v>
      </c>
      <c r="H41" s="212" t="s">
        <v>1167</v>
      </c>
      <c r="P41" s="209" t="s">
        <v>83</v>
      </c>
      <c r="Q41"/>
    </row>
    <row r="42" spans="7:17" x14ac:dyDescent="0.3">
      <c r="H42" s="214" t="s">
        <v>1278</v>
      </c>
      <c r="P42" s="209" t="s">
        <v>84</v>
      </c>
      <c r="Q42"/>
    </row>
    <row r="43" spans="7:17" x14ac:dyDescent="0.3">
      <c r="H43" s="214" t="s">
        <v>1276</v>
      </c>
      <c r="P43" s="209" t="s">
        <v>85</v>
      </c>
      <c r="Q43"/>
    </row>
    <row r="44" spans="7:17" x14ac:dyDescent="0.3">
      <c r="H44" s="214" t="s">
        <v>1277</v>
      </c>
      <c r="P44" s="209" t="s">
        <v>86</v>
      </c>
      <c r="Q44"/>
    </row>
    <row r="45" spans="7:17" x14ac:dyDescent="0.3">
      <c r="H45" s="214"/>
      <c r="P45" s="209" t="s">
        <v>87</v>
      </c>
      <c r="Q45"/>
    </row>
    <row r="46" spans="7:17" x14ac:dyDescent="0.3">
      <c r="P46" s="209" t="s">
        <v>88</v>
      </c>
      <c r="Q46"/>
    </row>
    <row r="47" spans="7:17" x14ac:dyDescent="0.3">
      <c r="P47" s="209" t="s">
        <v>89</v>
      </c>
      <c r="Q47"/>
    </row>
    <row r="48" spans="7:17" x14ac:dyDescent="0.3">
      <c r="P48" s="209" t="s">
        <v>90</v>
      </c>
      <c r="Q48"/>
    </row>
    <row r="49" spans="16:17" x14ac:dyDescent="0.3">
      <c r="P49" s="209" t="s">
        <v>91</v>
      </c>
      <c r="Q49"/>
    </row>
    <row r="50" spans="16:17" x14ac:dyDescent="0.3">
      <c r="P50" s="209" t="s">
        <v>92</v>
      </c>
      <c r="Q50"/>
    </row>
    <row r="51" spans="16:17" x14ac:dyDescent="0.3">
      <c r="P51" s="209" t="s">
        <v>93</v>
      </c>
      <c r="Q51"/>
    </row>
    <row r="52" spans="16:17" x14ac:dyDescent="0.3">
      <c r="P52" s="209" t="s">
        <v>94</v>
      </c>
      <c r="Q52"/>
    </row>
    <row r="53" spans="16:17" x14ac:dyDescent="0.3">
      <c r="P53" s="209" t="s">
        <v>95</v>
      </c>
      <c r="Q53"/>
    </row>
    <row r="54" spans="16:17" x14ac:dyDescent="0.3">
      <c r="P54" s="209" t="s">
        <v>96</v>
      </c>
      <c r="Q54"/>
    </row>
    <row r="55" spans="16:17" x14ac:dyDescent="0.3">
      <c r="P55" s="209" t="s">
        <v>97</v>
      </c>
      <c r="Q55"/>
    </row>
    <row r="56" spans="16:17" x14ac:dyDescent="0.3">
      <c r="P56" s="209" t="s">
        <v>98</v>
      </c>
      <c r="Q56"/>
    </row>
    <row r="57" spans="16:17" x14ac:dyDescent="0.3">
      <c r="P57" s="209" t="s">
        <v>99</v>
      </c>
      <c r="Q57"/>
    </row>
    <row r="58" spans="16:17" x14ac:dyDescent="0.3">
      <c r="P58" s="209" t="s">
        <v>100</v>
      </c>
      <c r="Q58"/>
    </row>
    <row r="59" spans="16:17" x14ac:dyDescent="0.3">
      <c r="P59" s="209" t="s">
        <v>101</v>
      </c>
      <c r="Q59"/>
    </row>
    <row r="60" spans="16:17" x14ac:dyDescent="0.3">
      <c r="P60" s="209" t="s">
        <v>102</v>
      </c>
      <c r="Q60"/>
    </row>
    <row r="61" spans="16:17" x14ac:dyDescent="0.3">
      <c r="P61" s="209" t="s">
        <v>103</v>
      </c>
      <c r="Q61"/>
    </row>
    <row r="62" spans="16:17" x14ac:dyDescent="0.3">
      <c r="P62" s="209" t="s">
        <v>104</v>
      </c>
      <c r="Q62"/>
    </row>
    <row r="63" spans="16:17" x14ac:dyDescent="0.3">
      <c r="P63" s="209" t="s">
        <v>105</v>
      </c>
      <c r="Q63"/>
    </row>
    <row r="64" spans="16:17" x14ac:dyDescent="0.3">
      <c r="P64" s="209" t="s">
        <v>106</v>
      </c>
      <c r="Q64"/>
    </row>
    <row r="65" spans="16:17" x14ac:dyDescent="0.3">
      <c r="P65" s="209" t="s">
        <v>107</v>
      </c>
      <c r="Q65"/>
    </row>
    <row r="66" spans="16:17" x14ac:dyDescent="0.3">
      <c r="P66" s="209" t="s">
        <v>108</v>
      </c>
      <c r="Q66"/>
    </row>
    <row r="67" spans="16:17" x14ac:dyDescent="0.3">
      <c r="P67" s="209" t="s">
        <v>109</v>
      </c>
      <c r="Q67"/>
    </row>
    <row r="68" spans="16:17" x14ac:dyDescent="0.3">
      <c r="P68" s="209" t="s">
        <v>110</v>
      </c>
      <c r="Q68"/>
    </row>
    <row r="69" spans="16:17" x14ac:dyDescent="0.3">
      <c r="P69" s="209" t="s">
        <v>111</v>
      </c>
      <c r="Q69"/>
    </row>
    <row r="70" spans="16:17" x14ac:dyDescent="0.3">
      <c r="P70" s="209" t="s">
        <v>112</v>
      </c>
      <c r="Q70"/>
    </row>
    <row r="71" spans="16:17" x14ac:dyDescent="0.3">
      <c r="P71" s="209" t="s">
        <v>113</v>
      </c>
      <c r="Q71"/>
    </row>
    <row r="72" spans="16:17" x14ac:dyDescent="0.3">
      <c r="P72" s="209" t="s">
        <v>114</v>
      </c>
      <c r="Q72"/>
    </row>
    <row r="73" spans="16:17" x14ac:dyDescent="0.3">
      <c r="P73" s="209" t="s">
        <v>115</v>
      </c>
      <c r="Q73"/>
    </row>
    <row r="74" spans="16:17" x14ac:dyDescent="0.3">
      <c r="P74" s="209" t="s">
        <v>116</v>
      </c>
      <c r="Q74"/>
    </row>
    <row r="75" spans="16:17" x14ac:dyDescent="0.3">
      <c r="P75" s="209" t="s">
        <v>117</v>
      </c>
      <c r="Q75"/>
    </row>
    <row r="76" spans="16:17" x14ac:dyDescent="0.3">
      <c r="P76" s="209" t="s">
        <v>118</v>
      </c>
      <c r="Q76"/>
    </row>
    <row r="77" spans="16:17" x14ac:dyDescent="0.3">
      <c r="P77" s="209" t="s">
        <v>119</v>
      </c>
      <c r="Q77"/>
    </row>
    <row r="78" spans="16:17" x14ac:dyDescent="0.3">
      <c r="P78" s="209" t="s">
        <v>120</v>
      </c>
      <c r="Q78"/>
    </row>
    <row r="79" spans="16:17" x14ac:dyDescent="0.3">
      <c r="P79" s="209" t="s">
        <v>121</v>
      </c>
      <c r="Q79"/>
    </row>
    <row r="80" spans="16:17" x14ac:dyDescent="0.3">
      <c r="P80" s="209" t="s">
        <v>122</v>
      </c>
      <c r="Q80"/>
    </row>
    <row r="81" spans="8:17" x14ac:dyDescent="0.3">
      <c r="P81" s="209" t="s">
        <v>123</v>
      </c>
      <c r="Q81"/>
    </row>
    <row r="82" spans="8:17" x14ac:dyDescent="0.3">
      <c r="H82" s="214"/>
      <c r="P82" s="209" t="s">
        <v>124</v>
      </c>
      <c r="Q82"/>
    </row>
    <row r="83" spans="8:17" x14ac:dyDescent="0.3">
      <c r="H83" s="214"/>
      <c r="P83" s="209" t="s">
        <v>125</v>
      </c>
      <c r="Q83"/>
    </row>
    <row r="84" spans="8:17" x14ac:dyDescent="0.3">
      <c r="H84" s="214"/>
      <c r="P84" s="209" t="s">
        <v>126</v>
      </c>
      <c r="Q84"/>
    </row>
    <row r="85" spans="8:17" x14ac:dyDescent="0.3">
      <c r="H85" s="214"/>
      <c r="P85" s="209" t="s">
        <v>127</v>
      </c>
      <c r="Q85"/>
    </row>
    <row r="86" spans="8:17" x14ac:dyDescent="0.3">
      <c r="H86" s="214"/>
      <c r="P86" s="209" t="s">
        <v>128</v>
      </c>
      <c r="Q86"/>
    </row>
    <row r="87" spans="8:17" x14ac:dyDescent="0.3">
      <c r="H87" s="214"/>
      <c r="P87" s="209" t="s">
        <v>129</v>
      </c>
      <c r="Q87"/>
    </row>
    <row r="88" spans="8:17" x14ac:dyDescent="0.3">
      <c r="H88" s="214"/>
      <c r="P88" s="209" t="s">
        <v>130</v>
      </c>
      <c r="Q88"/>
    </row>
    <row r="89" spans="8:17" x14ac:dyDescent="0.3">
      <c r="H89" s="214"/>
      <c r="P89" s="209" t="s">
        <v>131</v>
      </c>
      <c r="Q89"/>
    </row>
    <row r="90" spans="8:17" x14ac:dyDescent="0.3">
      <c r="H90" s="214"/>
      <c r="P90" s="209" t="s">
        <v>132</v>
      </c>
      <c r="Q90"/>
    </row>
    <row r="91" spans="8:17" x14ac:dyDescent="0.3">
      <c r="H91" s="214"/>
      <c r="P91" s="209" t="s">
        <v>133</v>
      </c>
      <c r="Q91"/>
    </row>
    <row r="92" spans="8:17" x14ac:dyDescent="0.3">
      <c r="P92" s="209" t="s">
        <v>134</v>
      </c>
      <c r="Q92"/>
    </row>
    <row r="93" spans="8:17" x14ac:dyDescent="0.3">
      <c r="P93" s="209" t="s">
        <v>135</v>
      </c>
      <c r="Q93"/>
    </row>
    <row r="94" spans="8:17" x14ac:dyDescent="0.3">
      <c r="P94" s="209" t="s">
        <v>136</v>
      </c>
      <c r="Q94"/>
    </row>
    <row r="95" spans="8:17" x14ac:dyDescent="0.3">
      <c r="P95" s="209" t="s">
        <v>137</v>
      </c>
      <c r="Q95"/>
    </row>
    <row r="96" spans="8:17" x14ac:dyDescent="0.3">
      <c r="P96" s="209" t="s">
        <v>138</v>
      </c>
      <c r="Q96"/>
    </row>
    <row r="97" spans="16:17" x14ac:dyDescent="0.3">
      <c r="P97" s="209" t="s">
        <v>139</v>
      </c>
      <c r="Q97"/>
    </row>
    <row r="98" spans="16:17" x14ac:dyDescent="0.3">
      <c r="P98" s="209" t="s">
        <v>140</v>
      </c>
      <c r="Q98"/>
    </row>
    <row r="99" spans="16:17" x14ac:dyDescent="0.3">
      <c r="P99" s="209" t="s">
        <v>141</v>
      </c>
      <c r="Q99"/>
    </row>
    <row r="100" spans="16:17" x14ac:dyDescent="0.3">
      <c r="P100" s="209" t="s">
        <v>142</v>
      </c>
      <c r="Q100"/>
    </row>
    <row r="101" spans="16:17" x14ac:dyDescent="0.3">
      <c r="P101" s="209" t="s">
        <v>143</v>
      </c>
      <c r="Q101"/>
    </row>
    <row r="102" spans="16:17" x14ac:dyDescent="0.3">
      <c r="P102" s="209" t="s">
        <v>144</v>
      </c>
      <c r="Q102"/>
    </row>
    <row r="103" spans="16:17" x14ac:dyDescent="0.3">
      <c r="P103" s="209" t="s">
        <v>145</v>
      </c>
      <c r="Q103"/>
    </row>
    <row r="104" spans="16:17" x14ac:dyDescent="0.3">
      <c r="P104" s="209" t="s">
        <v>146</v>
      </c>
      <c r="Q104"/>
    </row>
    <row r="105" spans="16:17" x14ac:dyDescent="0.3">
      <c r="P105" s="209" t="s">
        <v>147</v>
      </c>
      <c r="Q105"/>
    </row>
    <row r="106" spans="16:17" x14ac:dyDescent="0.3">
      <c r="P106" s="209" t="s">
        <v>148</v>
      </c>
      <c r="Q106"/>
    </row>
    <row r="107" spans="16:17" x14ac:dyDescent="0.3">
      <c r="P107" s="209" t="s">
        <v>149</v>
      </c>
      <c r="Q107"/>
    </row>
    <row r="108" spans="16:17" x14ac:dyDescent="0.3">
      <c r="P108" s="209" t="s">
        <v>150</v>
      </c>
      <c r="Q108"/>
    </row>
    <row r="109" spans="16:17" x14ac:dyDescent="0.3">
      <c r="P109" s="209" t="s">
        <v>151</v>
      </c>
      <c r="Q109"/>
    </row>
    <row r="110" spans="16:17" x14ac:dyDescent="0.3">
      <c r="P110" s="209" t="s">
        <v>152</v>
      </c>
      <c r="Q110"/>
    </row>
    <row r="111" spans="16:17" x14ac:dyDescent="0.3">
      <c r="P111" s="209" t="s">
        <v>153</v>
      </c>
      <c r="Q111"/>
    </row>
    <row r="112" spans="16:17" x14ac:dyDescent="0.3">
      <c r="P112" s="209" t="s">
        <v>154</v>
      </c>
      <c r="Q112"/>
    </row>
    <row r="113" spans="16:17" x14ac:dyDescent="0.3">
      <c r="P113" s="209" t="s">
        <v>155</v>
      </c>
      <c r="Q113"/>
    </row>
    <row r="114" spans="16:17" x14ac:dyDescent="0.3">
      <c r="P114" s="209" t="s">
        <v>156</v>
      </c>
      <c r="Q114"/>
    </row>
    <row r="115" spans="16:17" x14ac:dyDescent="0.3">
      <c r="P115" s="209" t="s">
        <v>157</v>
      </c>
      <c r="Q115"/>
    </row>
    <row r="116" spans="16:17" x14ac:dyDescent="0.3">
      <c r="P116" s="209" t="s">
        <v>158</v>
      </c>
      <c r="Q116"/>
    </row>
    <row r="117" spans="16:17" x14ac:dyDescent="0.3">
      <c r="P117" s="209" t="s">
        <v>159</v>
      </c>
      <c r="Q117"/>
    </row>
    <row r="118" spans="16:17" x14ac:dyDescent="0.3">
      <c r="P118" s="209" t="s">
        <v>160</v>
      </c>
      <c r="Q118"/>
    </row>
    <row r="119" spans="16:17" x14ac:dyDescent="0.3">
      <c r="P119" s="209" t="s">
        <v>161</v>
      </c>
      <c r="Q119"/>
    </row>
    <row r="120" spans="16:17" x14ac:dyDescent="0.3">
      <c r="P120" s="209" t="s">
        <v>162</v>
      </c>
      <c r="Q120"/>
    </row>
    <row r="121" spans="16:17" x14ac:dyDescent="0.3">
      <c r="P121" s="209" t="s">
        <v>163</v>
      </c>
      <c r="Q121"/>
    </row>
    <row r="122" spans="16:17" x14ac:dyDescent="0.3">
      <c r="P122" s="209" t="s">
        <v>164</v>
      </c>
      <c r="Q122"/>
    </row>
    <row r="123" spans="16:17" x14ac:dyDescent="0.3">
      <c r="P123" s="209" t="s">
        <v>165</v>
      </c>
      <c r="Q123"/>
    </row>
    <row r="124" spans="16:17" x14ac:dyDescent="0.3">
      <c r="P124" s="209" t="s">
        <v>166</v>
      </c>
      <c r="Q124"/>
    </row>
    <row r="125" spans="16:17" x14ac:dyDescent="0.3">
      <c r="P125" s="209" t="s">
        <v>167</v>
      </c>
      <c r="Q125"/>
    </row>
    <row r="126" spans="16:17" x14ac:dyDescent="0.3">
      <c r="P126" s="209" t="s">
        <v>168</v>
      </c>
      <c r="Q126"/>
    </row>
    <row r="127" spans="16:17" x14ac:dyDescent="0.3">
      <c r="P127" s="209" t="s">
        <v>169</v>
      </c>
      <c r="Q127"/>
    </row>
    <row r="128" spans="16:17" x14ac:dyDescent="0.3">
      <c r="P128" s="209" t="s">
        <v>170</v>
      </c>
      <c r="Q128"/>
    </row>
    <row r="129" spans="16:17" x14ac:dyDescent="0.3">
      <c r="P129" s="209" t="s">
        <v>171</v>
      </c>
      <c r="Q129"/>
    </row>
    <row r="130" spans="16:17" x14ac:dyDescent="0.3">
      <c r="P130" s="209" t="s">
        <v>172</v>
      </c>
      <c r="Q130"/>
    </row>
    <row r="131" spans="16:17" x14ac:dyDescent="0.3">
      <c r="P131" s="209" t="s">
        <v>173</v>
      </c>
      <c r="Q131"/>
    </row>
    <row r="132" spans="16:17" x14ac:dyDescent="0.3">
      <c r="P132" s="209" t="s">
        <v>174</v>
      </c>
      <c r="Q132"/>
    </row>
    <row r="133" spans="16:17" x14ac:dyDescent="0.3">
      <c r="P133" s="209" t="s">
        <v>175</v>
      </c>
      <c r="Q133"/>
    </row>
    <row r="134" spans="16:17" x14ac:dyDescent="0.3">
      <c r="P134" s="209" t="s">
        <v>176</v>
      </c>
      <c r="Q134"/>
    </row>
    <row r="135" spans="16:17" x14ac:dyDescent="0.3">
      <c r="P135" s="209" t="s">
        <v>177</v>
      </c>
      <c r="Q135"/>
    </row>
    <row r="136" spans="16:17" x14ac:dyDescent="0.3">
      <c r="P136" s="209" t="s">
        <v>178</v>
      </c>
      <c r="Q136"/>
    </row>
    <row r="137" spans="16:17" x14ac:dyDescent="0.3">
      <c r="P137" s="209" t="s">
        <v>179</v>
      </c>
      <c r="Q137"/>
    </row>
    <row r="138" spans="16:17" x14ac:dyDescent="0.3">
      <c r="P138" s="209" t="s">
        <v>180</v>
      </c>
      <c r="Q138"/>
    </row>
    <row r="139" spans="16:17" x14ac:dyDescent="0.3">
      <c r="P139" s="209" t="s">
        <v>181</v>
      </c>
      <c r="Q139"/>
    </row>
    <row r="140" spans="16:17" x14ac:dyDescent="0.3">
      <c r="P140" s="209" t="s">
        <v>182</v>
      </c>
      <c r="Q140"/>
    </row>
    <row r="141" spans="16:17" x14ac:dyDescent="0.3">
      <c r="P141" s="209" t="s">
        <v>183</v>
      </c>
      <c r="Q141"/>
    </row>
    <row r="142" spans="16:17" x14ac:dyDescent="0.3">
      <c r="P142" s="209" t="s">
        <v>184</v>
      </c>
      <c r="Q142"/>
    </row>
    <row r="143" spans="16:17" x14ac:dyDescent="0.3">
      <c r="P143" s="209" t="s">
        <v>185</v>
      </c>
      <c r="Q143"/>
    </row>
    <row r="144" spans="16:17" x14ac:dyDescent="0.3">
      <c r="P144" s="209" t="s">
        <v>186</v>
      </c>
      <c r="Q144"/>
    </row>
    <row r="145" spans="16:17" x14ac:dyDescent="0.3">
      <c r="P145" s="209" t="s">
        <v>187</v>
      </c>
      <c r="Q145"/>
    </row>
    <row r="146" spans="16:17" x14ac:dyDescent="0.3">
      <c r="P146" s="209" t="s">
        <v>188</v>
      </c>
      <c r="Q146"/>
    </row>
    <row r="147" spans="16:17" x14ac:dyDescent="0.3">
      <c r="P147" s="209" t="s">
        <v>189</v>
      </c>
      <c r="Q147"/>
    </row>
    <row r="148" spans="16:17" x14ac:dyDescent="0.3">
      <c r="P148" s="209" t="s">
        <v>190</v>
      </c>
      <c r="Q148"/>
    </row>
    <row r="149" spans="16:17" x14ac:dyDescent="0.3">
      <c r="P149" s="209" t="s">
        <v>191</v>
      </c>
      <c r="Q149"/>
    </row>
    <row r="150" spans="16:17" x14ac:dyDescent="0.3">
      <c r="P150" s="209" t="s">
        <v>192</v>
      </c>
      <c r="Q150"/>
    </row>
    <row r="151" spans="16:17" x14ac:dyDescent="0.3">
      <c r="P151" s="209" t="s">
        <v>193</v>
      </c>
      <c r="Q151"/>
    </row>
    <row r="152" spans="16:17" x14ac:dyDescent="0.3">
      <c r="P152" s="209" t="s">
        <v>194</v>
      </c>
      <c r="Q152"/>
    </row>
    <row r="153" spans="16:17" x14ac:dyDescent="0.3">
      <c r="P153" s="209" t="s">
        <v>195</v>
      </c>
      <c r="Q153"/>
    </row>
    <row r="154" spans="16:17" x14ac:dyDescent="0.3">
      <c r="P154" s="209" t="s">
        <v>196</v>
      </c>
      <c r="Q154"/>
    </row>
    <row r="155" spans="16:17" x14ac:dyDescent="0.3">
      <c r="P155" s="209" t="s">
        <v>197</v>
      </c>
      <c r="Q155"/>
    </row>
    <row r="156" spans="16:17" x14ac:dyDescent="0.3">
      <c r="P156" s="209" t="s">
        <v>198</v>
      </c>
      <c r="Q156"/>
    </row>
    <row r="157" spans="16:17" x14ac:dyDescent="0.3">
      <c r="P157" s="209" t="s">
        <v>199</v>
      </c>
      <c r="Q157"/>
    </row>
    <row r="158" spans="16:17" x14ac:dyDescent="0.3">
      <c r="P158" s="209" t="s">
        <v>200</v>
      </c>
      <c r="Q158"/>
    </row>
    <row r="159" spans="16:17" x14ac:dyDescent="0.3">
      <c r="P159" s="209" t="s">
        <v>201</v>
      </c>
      <c r="Q159"/>
    </row>
    <row r="160" spans="16:17" x14ac:dyDescent="0.3">
      <c r="P160" s="209" t="s">
        <v>202</v>
      </c>
      <c r="Q160"/>
    </row>
    <row r="161" spans="16:17" x14ac:dyDescent="0.3">
      <c r="P161" s="209" t="s">
        <v>203</v>
      </c>
      <c r="Q161"/>
    </row>
    <row r="162" spans="16:17" x14ac:dyDescent="0.3">
      <c r="P162" s="209" t="s">
        <v>204</v>
      </c>
      <c r="Q162"/>
    </row>
    <row r="163" spans="16:17" x14ac:dyDescent="0.3">
      <c r="P163" s="209" t="s">
        <v>205</v>
      </c>
      <c r="Q163"/>
    </row>
    <row r="164" spans="16:17" x14ac:dyDescent="0.3">
      <c r="P164" s="209" t="s">
        <v>206</v>
      </c>
      <c r="Q164"/>
    </row>
    <row r="165" spans="16:17" x14ac:dyDescent="0.3">
      <c r="P165" s="209" t="s">
        <v>207</v>
      </c>
      <c r="Q165"/>
    </row>
    <row r="166" spans="16:17" x14ac:dyDescent="0.3">
      <c r="P166" s="209" t="s">
        <v>208</v>
      </c>
      <c r="Q166"/>
    </row>
    <row r="167" spans="16:17" x14ac:dyDescent="0.3">
      <c r="P167" s="209" t="s">
        <v>209</v>
      </c>
      <c r="Q167"/>
    </row>
    <row r="168" spans="16:17" x14ac:dyDescent="0.3">
      <c r="P168" s="209" t="s">
        <v>210</v>
      </c>
      <c r="Q168"/>
    </row>
    <row r="169" spans="16:17" x14ac:dyDescent="0.3">
      <c r="P169" s="209" t="s">
        <v>211</v>
      </c>
      <c r="Q169"/>
    </row>
    <row r="170" spans="16:17" x14ac:dyDescent="0.3">
      <c r="P170" s="209" t="s">
        <v>212</v>
      </c>
      <c r="Q170"/>
    </row>
    <row r="171" spans="16:17" x14ac:dyDescent="0.3">
      <c r="P171" s="209" t="s">
        <v>213</v>
      </c>
      <c r="Q171"/>
    </row>
    <row r="172" spans="16:17" x14ac:dyDescent="0.3">
      <c r="P172" s="209" t="s">
        <v>214</v>
      </c>
      <c r="Q172"/>
    </row>
    <row r="173" spans="16:17" x14ac:dyDescent="0.3">
      <c r="P173" s="209" t="s">
        <v>215</v>
      </c>
      <c r="Q173"/>
    </row>
    <row r="174" spans="16:17" x14ac:dyDescent="0.3">
      <c r="P174" s="209" t="s">
        <v>216</v>
      </c>
      <c r="Q174"/>
    </row>
    <row r="175" spans="16:17" x14ac:dyDescent="0.3">
      <c r="P175" s="209" t="s">
        <v>217</v>
      </c>
      <c r="Q175"/>
    </row>
    <row r="176" spans="16:17" x14ac:dyDescent="0.3">
      <c r="P176" s="209" t="s">
        <v>218</v>
      </c>
      <c r="Q176"/>
    </row>
    <row r="177" spans="16:17" x14ac:dyDescent="0.3">
      <c r="P177" s="209" t="s">
        <v>219</v>
      </c>
      <c r="Q177"/>
    </row>
    <row r="178" spans="16:17" x14ac:dyDescent="0.3">
      <c r="P178" s="209" t="s">
        <v>220</v>
      </c>
      <c r="Q178"/>
    </row>
    <row r="179" spans="16:17" x14ac:dyDescent="0.3">
      <c r="P179" s="209" t="s">
        <v>221</v>
      </c>
      <c r="Q179"/>
    </row>
    <row r="180" spans="16:17" x14ac:dyDescent="0.3">
      <c r="P180" s="209" t="s">
        <v>222</v>
      </c>
      <c r="Q180"/>
    </row>
    <row r="181" spans="16:17" x14ac:dyDescent="0.3">
      <c r="P181" s="209" t="s">
        <v>223</v>
      </c>
      <c r="Q181"/>
    </row>
    <row r="182" spans="16:17" x14ac:dyDescent="0.3">
      <c r="P182" s="209" t="s">
        <v>224</v>
      </c>
      <c r="Q182"/>
    </row>
    <row r="183" spans="16:17" x14ac:dyDescent="0.3">
      <c r="P183" s="209" t="s">
        <v>225</v>
      </c>
      <c r="Q183"/>
    </row>
    <row r="184" spans="16:17" x14ac:dyDescent="0.3">
      <c r="P184" s="209" t="s">
        <v>226</v>
      </c>
      <c r="Q184"/>
    </row>
    <row r="185" spans="16:17" x14ac:dyDescent="0.3">
      <c r="P185" s="209" t="s">
        <v>227</v>
      </c>
      <c r="Q185"/>
    </row>
    <row r="186" spans="16:17" x14ac:dyDescent="0.3">
      <c r="P186" s="209" t="s">
        <v>228</v>
      </c>
      <c r="Q186"/>
    </row>
    <row r="187" spans="16:17" x14ac:dyDescent="0.3">
      <c r="P187" s="209" t="s">
        <v>229</v>
      </c>
      <c r="Q187"/>
    </row>
    <row r="188" spans="16:17" x14ac:dyDescent="0.3">
      <c r="P188" s="209" t="s">
        <v>230</v>
      </c>
      <c r="Q188"/>
    </row>
    <row r="189" spans="16:17" x14ac:dyDescent="0.3">
      <c r="P189" s="209" t="s">
        <v>231</v>
      </c>
      <c r="Q189"/>
    </row>
    <row r="190" spans="16:17" x14ac:dyDescent="0.3">
      <c r="P190" s="209" t="s">
        <v>232</v>
      </c>
      <c r="Q190"/>
    </row>
    <row r="191" spans="16:17" x14ac:dyDescent="0.3">
      <c r="P191" s="209" t="s">
        <v>233</v>
      </c>
      <c r="Q191"/>
    </row>
    <row r="192" spans="16:17" x14ac:dyDescent="0.3">
      <c r="P192" s="209" t="s">
        <v>234</v>
      </c>
      <c r="Q192"/>
    </row>
    <row r="193" spans="16:17" x14ac:dyDescent="0.3">
      <c r="P193" s="209" t="s">
        <v>235</v>
      </c>
      <c r="Q193"/>
    </row>
    <row r="194" spans="16:17" x14ac:dyDescent="0.3">
      <c r="P194" s="209" t="s">
        <v>236</v>
      </c>
      <c r="Q194"/>
    </row>
    <row r="195" spans="16:17" x14ac:dyDescent="0.3">
      <c r="P195" s="209" t="s">
        <v>237</v>
      </c>
      <c r="Q195"/>
    </row>
    <row r="196" spans="16:17" x14ac:dyDescent="0.3">
      <c r="P196" s="209" t="s">
        <v>238</v>
      </c>
      <c r="Q196"/>
    </row>
    <row r="197" spans="16:17" x14ac:dyDescent="0.3">
      <c r="P197" s="209" t="s">
        <v>239</v>
      </c>
      <c r="Q197"/>
    </row>
    <row r="198" spans="16:17" x14ac:dyDescent="0.3">
      <c r="P198" s="209" t="s">
        <v>240</v>
      </c>
      <c r="Q198"/>
    </row>
    <row r="199" spans="16:17" x14ac:dyDescent="0.3">
      <c r="P199" s="209" t="s">
        <v>241</v>
      </c>
      <c r="Q199"/>
    </row>
    <row r="200" spans="16:17" x14ac:dyDescent="0.3">
      <c r="P200" s="209" t="s">
        <v>242</v>
      </c>
      <c r="Q200"/>
    </row>
    <row r="201" spans="16:17" x14ac:dyDescent="0.3">
      <c r="P201" s="209" t="s">
        <v>243</v>
      </c>
      <c r="Q201"/>
    </row>
    <row r="202" spans="16:17" x14ac:dyDescent="0.3">
      <c r="P202" s="209" t="s">
        <v>244</v>
      </c>
      <c r="Q202"/>
    </row>
    <row r="203" spans="16:17" x14ac:dyDescent="0.3">
      <c r="P203" s="209" t="s">
        <v>245</v>
      </c>
      <c r="Q203"/>
    </row>
    <row r="204" spans="16:17" x14ac:dyDescent="0.3">
      <c r="P204" s="209" t="s">
        <v>246</v>
      </c>
      <c r="Q204"/>
    </row>
    <row r="205" spans="16:17" x14ac:dyDescent="0.3">
      <c r="P205" s="209" t="s">
        <v>247</v>
      </c>
      <c r="Q205"/>
    </row>
    <row r="206" spans="16:17" x14ac:dyDescent="0.3">
      <c r="P206" s="209" t="s">
        <v>248</v>
      </c>
      <c r="Q206"/>
    </row>
    <row r="207" spans="16:17" x14ac:dyDescent="0.3">
      <c r="P207" s="209" t="s">
        <v>249</v>
      </c>
      <c r="Q207"/>
    </row>
    <row r="208" spans="16:17" x14ac:dyDescent="0.3">
      <c r="P208" s="209" t="s">
        <v>250</v>
      </c>
      <c r="Q208"/>
    </row>
    <row r="209" spans="16:17" x14ac:dyDescent="0.3">
      <c r="P209" s="209" t="s">
        <v>251</v>
      </c>
      <c r="Q209"/>
    </row>
    <row r="210" spans="16:17" x14ac:dyDescent="0.3">
      <c r="P210" s="209" t="s">
        <v>252</v>
      </c>
      <c r="Q210"/>
    </row>
    <row r="211" spans="16:17" x14ac:dyDescent="0.3">
      <c r="P211" s="209" t="s">
        <v>253</v>
      </c>
      <c r="Q211"/>
    </row>
    <row r="212" spans="16:17" x14ac:dyDescent="0.3">
      <c r="P212" s="209" t="s">
        <v>254</v>
      </c>
      <c r="Q212"/>
    </row>
    <row r="213" spans="16:17" x14ac:dyDescent="0.3">
      <c r="P213" s="209" t="s">
        <v>255</v>
      </c>
      <c r="Q213"/>
    </row>
    <row r="214" spans="16:17" x14ac:dyDescent="0.3">
      <c r="P214" s="209" t="s">
        <v>256</v>
      </c>
      <c r="Q214"/>
    </row>
    <row r="215" spans="16:17" x14ac:dyDescent="0.3">
      <c r="P215" s="209" t="s">
        <v>257</v>
      </c>
      <c r="Q215"/>
    </row>
    <row r="216" spans="16:17" x14ac:dyDescent="0.3">
      <c r="P216" s="209" t="s">
        <v>258</v>
      </c>
      <c r="Q216"/>
    </row>
    <row r="217" spans="16:17" x14ac:dyDescent="0.3">
      <c r="P217" s="209" t="s">
        <v>259</v>
      </c>
      <c r="Q217"/>
    </row>
    <row r="218" spans="16:17" x14ac:dyDescent="0.3">
      <c r="P218" s="209" t="s">
        <v>260</v>
      </c>
      <c r="Q218"/>
    </row>
    <row r="219" spans="16:17" x14ac:dyDescent="0.3">
      <c r="P219" s="209" t="s">
        <v>261</v>
      </c>
      <c r="Q219"/>
    </row>
    <row r="220" spans="16:17" x14ac:dyDescent="0.3">
      <c r="P220" s="209" t="s">
        <v>262</v>
      </c>
      <c r="Q220"/>
    </row>
    <row r="221" spans="16:17" x14ac:dyDescent="0.3">
      <c r="P221" s="209" t="s">
        <v>263</v>
      </c>
      <c r="Q221"/>
    </row>
    <row r="222" spans="16:17" x14ac:dyDescent="0.3">
      <c r="P222" s="209" t="s">
        <v>264</v>
      </c>
      <c r="Q222"/>
    </row>
    <row r="223" spans="16:17" x14ac:dyDescent="0.3">
      <c r="P223" s="209" t="s">
        <v>265</v>
      </c>
      <c r="Q223"/>
    </row>
    <row r="224" spans="16:17" x14ac:dyDescent="0.3">
      <c r="P224" s="209" t="s">
        <v>266</v>
      </c>
      <c r="Q224"/>
    </row>
    <row r="225" spans="16:17" x14ac:dyDescent="0.3">
      <c r="P225" s="209" t="s">
        <v>267</v>
      </c>
      <c r="Q225"/>
    </row>
    <row r="226" spans="16:17" x14ac:dyDescent="0.3">
      <c r="P226" s="209" t="s">
        <v>268</v>
      </c>
      <c r="Q226"/>
    </row>
    <row r="227" spans="16:17" x14ac:dyDescent="0.3">
      <c r="P227" s="209" t="s">
        <v>269</v>
      </c>
      <c r="Q227"/>
    </row>
    <row r="228" spans="16:17" x14ac:dyDescent="0.3">
      <c r="P228" s="209" t="s">
        <v>270</v>
      </c>
      <c r="Q228"/>
    </row>
    <row r="229" spans="16:17" x14ac:dyDescent="0.3">
      <c r="P229" s="209" t="s">
        <v>271</v>
      </c>
      <c r="Q229"/>
    </row>
    <row r="230" spans="16:17" x14ac:dyDescent="0.3">
      <c r="P230" s="209" t="s">
        <v>272</v>
      </c>
      <c r="Q230"/>
    </row>
    <row r="231" spans="16:17" x14ac:dyDescent="0.3">
      <c r="P231" s="209" t="s">
        <v>273</v>
      </c>
      <c r="Q231"/>
    </row>
    <row r="232" spans="16:17" x14ac:dyDescent="0.3">
      <c r="P232" s="209" t="s">
        <v>274</v>
      </c>
      <c r="Q232"/>
    </row>
    <row r="233" spans="16:17" x14ac:dyDescent="0.3">
      <c r="P233" s="209" t="s">
        <v>275</v>
      </c>
      <c r="Q233"/>
    </row>
    <row r="234" spans="16:17" x14ac:dyDescent="0.3">
      <c r="P234" s="209" t="s">
        <v>276</v>
      </c>
      <c r="Q234"/>
    </row>
    <row r="235" spans="16:17" x14ac:dyDescent="0.3">
      <c r="P235" s="209" t="s">
        <v>277</v>
      </c>
      <c r="Q235"/>
    </row>
    <row r="236" spans="16:17" x14ac:dyDescent="0.3">
      <c r="P236" s="209" t="s">
        <v>278</v>
      </c>
      <c r="Q236"/>
    </row>
    <row r="237" spans="16:17" x14ac:dyDescent="0.3">
      <c r="P237" s="209" t="s">
        <v>279</v>
      </c>
      <c r="Q237"/>
    </row>
    <row r="238" spans="16:17" x14ac:dyDescent="0.3">
      <c r="P238" s="209" t="s">
        <v>280</v>
      </c>
      <c r="Q238"/>
    </row>
    <row r="239" spans="16:17" x14ac:dyDescent="0.3">
      <c r="P239" s="209" t="s">
        <v>281</v>
      </c>
      <c r="Q239"/>
    </row>
    <row r="240" spans="16:17" x14ac:dyDescent="0.3">
      <c r="P240" s="209" t="s">
        <v>282</v>
      </c>
      <c r="Q240"/>
    </row>
    <row r="241" spans="16:17" x14ac:dyDescent="0.3">
      <c r="P241" s="209" t="s">
        <v>283</v>
      </c>
      <c r="Q241"/>
    </row>
    <row r="242" spans="16:17" x14ac:dyDescent="0.3">
      <c r="P242" s="209" t="s">
        <v>284</v>
      </c>
      <c r="Q242"/>
    </row>
    <row r="243" spans="16:17" x14ac:dyDescent="0.3">
      <c r="P243" s="209" t="s">
        <v>285</v>
      </c>
      <c r="Q243"/>
    </row>
    <row r="244" spans="16:17" x14ac:dyDescent="0.3">
      <c r="P244" s="209" t="s">
        <v>286</v>
      </c>
      <c r="Q244"/>
    </row>
    <row r="245" spans="16:17" x14ac:dyDescent="0.3">
      <c r="P245" s="209" t="s">
        <v>287</v>
      </c>
      <c r="Q245"/>
    </row>
    <row r="246" spans="16:17" x14ac:dyDescent="0.3">
      <c r="P246" s="209" t="s">
        <v>288</v>
      </c>
      <c r="Q246"/>
    </row>
    <row r="247" spans="16:17" x14ac:dyDescent="0.3">
      <c r="P247" s="209" t="s">
        <v>289</v>
      </c>
      <c r="Q247"/>
    </row>
    <row r="248" spans="16:17" x14ac:dyDescent="0.3">
      <c r="P248" s="209" t="s">
        <v>290</v>
      </c>
      <c r="Q248"/>
    </row>
    <row r="249" spans="16:17" x14ac:dyDescent="0.3">
      <c r="P249" s="209" t="s">
        <v>291</v>
      </c>
      <c r="Q249"/>
    </row>
    <row r="250" spans="16:17" x14ac:dyDescent="0.3">
      <c r="P250" s="209" t="s">
        <v>292</v>
      </c>
      <c r="Q250"/>
    </row>
    <row r="251" spans="16:17" x14ac:dyDescent="0.3">
      <c r="P251" s="209" t="s">
        <v>293</v>
      </c>
      <c r="Q251"/>
    </row>
    <row r="252" spans="16:17" x14ac:dyDescent="0.3">
      <c r="P252" s="209" t="s">
        <v>294</v>
      </c>
      <c r="Q252"/>
    </row>
    <row r="253" spans="16:17" x14ac:dyDescent="0.3">
      <c r="P253" s="209" t="s">
        <v>295</v>
      </c>
      <c r="Q253"/>
    </row>
    <row r="254" spans="16:17" x14ac:dyDescent="0.3">
      <c r="P254" s="209" t="s">
        <v>296</v>
      </c>
      <c r="Q254"/>
    </row>
    <row r="255" spans="16:17" x14ac:dyDescent="0.3">
      <c r="P255" s="209" t="s">
        <v>297</v>
      </c>
      <c r="Q255"/>
    </row>
    <row r="256" spans="16:17" x14ac:dyDescent="0.3">
      <c r="P256" s="209" t="s">
        <v>298</v>
      </c>
      <c r="Q256"/>
    </row>
    <row r="257" spans="16:17" x14ac:dyDescent="0.3">
      <c r="P257" s="209" t="s">
        <v>299</v>
      </c>
      <c r="Q257"/>
    </row>
    <row r="258" spans="16:17" x14ac:dyDescent="0.3">
      <c r="P258" s="209" t="s">
        <v>300</v>
      </c>
      <c r="Q258"/>
    </row>
    <row r="259" spans="16:17" x14ac:dyDescent="0.3">
      <c r="P259" s="209" t="s">
        <v>301</v>
      </c>
      <c r="Q259"/>
    </row>
    <row r="260" spans="16:17" x14ac:dyDescent="0.3">
      <c r="P260" s="209" t="s">
        <v>302</v>
      </c>
      <c r="Q260"/>
    </row>
    <row r="261" spans="16:17" x14ac:dyDescent="0.3">
      <c r="P261" s="209" t="s">
        <v>303</v>
      </c>
      <c r="Q261"/>
    </row>
    <row r="262" spans="16:17" x14ac:dyDescent="0.3">
      <c r="P262" s="209" t="s">
        <v>304</v>
      </c>
      <c r="Q262"/>
    </row>
    <row r="263" spans="16:17" x14ac:dyDescent="0.3">
      <c r="P263" s="209" t="s">
        <v>305</v>
      </c>
      <c r="Q263"/>
    </row>
    <row r="264" spans="16:17" x14ac:dyDescent="0.3">
      <c r="P264" s="209" t="s">
        <v>306</v>
      </c>
      <c r="Q264"/>
    </row>
    <row r="265" spans="16:17" x14ac:dyDescent="0.3">
      <c r="P265" s="209" t="s">
        <v>307</v>
      </c>
      <c r="Q265"/>
    </row>
    <row r="266" spans="16:17" x14ac:dyDescent="0.3">
      <c r="P266" s="209" t="s">
        <v>308</v>
      </c>
      <c r="Q266"/>
    </row>
    <row r="267" spans="16:17" x14ac:dyDescent="0.3">
      <c r="P267" s="209" t="s">
        <v>309</v>
      </c>
      <c r="Q267"/>
    </row>
    <row r="268" spans="16:17" x14ac:dyDescent="0.3">
      <c r="P268" s="209" t="s">
        <v>310</v>
      </c>
      <c r="Q268"/>
    </row>
    <row r="269" spans="16:17" x14ac:dyDescent="0.3">
      <c r="P269" s="209" t="s">
        <v>311</v>
      </c>
      <c r="Q269"/>
    </row>
    <row r="270" spans="16:17" x14ac:dyDescent="0.3">
      <c r="P270" s="209" t="s">
        <v>312</v>
      </c>
      <c r="Q270"/>
    </row>
    <row r="271" spans="16:17" x14ac:dyDescent="0.3">
      <c r="P271" s="209" t="s">
        <v>313</v>
      </c>
      <c r="Q271"/>
    </row>
    <row r="272" spans="16:17" x14ac:dyDescent="0.3">
      <c r="P272" s="209" t="s">
        <v>314</v>
      </c>
      <c r="Q272"/>
    </row>
    <row r="273" spans="16:17" x14ac:dyDescent="0.3">
      <c r="P273" s="209" t="s">
        <v>315</v>
      </c>
      <c r="Q273"/>
    </row>
    <row r="274" spans="16:17" x14ac:dyDescent="0.3">
      <c r="P274" s="209" t="s">
        <v>316</v>
      </c>
      <c r="Q274"/>
    </row>
    <row r="275" spans="16:17" x14ac:dyDescent="0.3">
      <c r="P275" s="209" t="s">
        <v>317</v>
      </c>
      <c r="Q275"/>
    </row>
    <row r="276" spans="16:17" x14ac:dyDescent="0.3">
      <c r="P276" s="209" t="s">
        <v>318</v>
      </c>
      <c r="Q276"/>
    </row>
    <row r="277" spans="16:17" x14ac:dyDescent="0.3">
      <c r="P277" s="209" t="s">
        <v>319</v>
      </c>
      <c r="Q277"/>
    </row>
    <row r="278" spans="16:17" x14ac:dyDescent="0.3">
      <c r="P278" s="209" t="s">
        <v>320</v>
      </c>
      <c r="Q278"/>
    </row>
    <row r="279" spans="16:17" x14ac:dyDescent="0.3">
      <c r="P279" s="209" t="s">
        <v>321</v>
      </c>
      <c r="Q279"/>
    </row>
    <row r="280" spans="16:17" x14ac:dyDescent="0.3">
      <c r="P280" s="209" t="s">
        <v>322</v>
      </c>
      <c r="Q280"/>
    </row>
    <row r="281" spans="16:17" x14ac:dyDescent="0.3">
      <c r="P281" s="209" t="s">
        <v>323</v>
      </c>
      <c r="Q281"/>
    </row>
    <row r="282" spans="16:17" x14ac:dyDescent="0.3">
      <c r="P282" s="209" t="s">
        <v>324</v>
      </c>
      <c r="Q282"/>
    </row>
    <row r="283" spans="16:17" x14ac:dyDescent="0.3">
      <c r="P283" s="209" t="s">
        <v>325</v>
      </c>
      <c r="Q283"/>
    </row>
    <row r="284" spans="16:17" x14ac:dyDescent="0.3">
      <c r="P284" s="209" t="s">
        <v>326</v>
      </c>
      <c r="Q284"/>
    </row>
    <row r="285" spans="16:17" x14ac:dyDescent="0.3">
      <c r="P285" s="209" t="s">
        <v>327</v>
      </c>
      <c r="Q285"/>
    </row>
    <row r="286" spans="16:17" x14ac:dyDescent="0.3">
      <c r="P286" s="209" t="s">
        <v>328</v>
      </c>
      <c r="Q286"/>
    </row>
    <row r="287" spans="16:17" x14ac:dyDescent="0.3">
      <c r="P287" s="209" t="s">
        <v>329</v>
      </c>
      <c r="Q287"/>
    </row>
    <row r="288" spans="16:17" x14ac:dyDescent="0.3">
      <c r="P288" s="209" t="s">
        <v>330</v>
      </c>
      <c r="Q288"/>
    </row>
    <row r="289" spans="16:17" x14ac:dyDescent="0.3">
      <c r="P289" s="209" t="s">
        <v>331</v>
      </c>
      <c r="Q289"/>
    </row>
    <row r="290" spans="16:17" x14ac:dyDescent="0.3">
      <c r="P290" s="209" t="s">
        <v>332</v>
      </c>
      <c r="Q290"/>
    </row>
    <row r="291" spans="16:17" x14ac:dyDescent="0.3">
      <c r="P291" s="209" t="s">
        <v>333</v>
      </c>
      <c r="Q291"/>
    </row>
    <row r="292" spans="16:17" x14ac:dyDescent="0.3">
      <c r="P292" s="209" t="s">
        <v>334</v>
      </c>
      <c r="Q292"/>
    </row>
    <row r="293" spans="16:17" x14ac:dyDescent="0.3">
      <c r="P293" s="209" t="s">
        <v>335</v>
      </c>
      <c r="Q293"/>
    </row>
    <row r="294" spans="16:17" x14ac:dyDescent="0.3">
      <c r="P294" s="209" t="s">
        <v>336</v>
      </c>
      <c r="Q294"/>
    </row>
    <row r="295" spans="16:17" x14ac:dyDescent="0.3">
      <c r="P295" s="209" t="s">
        <v>337</v>
      </c>
      <c r="Q295"/>
    </row>
    <row r="296" spans="16:17" x14ac:dyDescent="0.3">
      <c r="P296" s="209" t="s">
        <v>338</v>
      </c>
      <c r="Q296"/>
    </row>
    <row r="297" spans="16:17" x14ac:dyDescent="0.3">
      <c r="P297" s="209" t="s">
        <v>339</v>
      </c>
      <c r="Q297"/>
    </row>
    <row r="298" spans="16:17" x14ac:dyDescent="0.3">
      <c r="P298" s="209" t="s">
        <v>340</v>
      </c>
      <c r="Q298"/>
    </row>
    <row r="299" spans="16:17" x14ac:dyDescent="0.3">
      <c r="P299" s="209" t="s">
        <v>341</v>
      </c>
      <c r="Q299"/>
    </row>
    <row r="300" spans="16:17" x14ac:dyDescent="0.3">
      <c r="P300" s="209" t="s">
        <v>342</v>
      </c>
      <c r="Q300"/>
    </row>
    <row r="301" spans="16:17" x14ac:dyDescent="0.3">
      <c r="P301" s="209" t="s">
        <v>343</v>
      </c>
      <c r="Q301"/>
    </row>
    <row r="302" spans="16:17" x14ac:dyDescent="0.3">
      <c r="P302" s="209" t="s">
        <v>344</v>
      </c>
      <c r="Q302"/>
    </row>
    <row r="303" spans="16:17" x14ac:dyDescent="0.3">
      <c r="P303" s="209" t="s">
        <v>345</v>
      </c>
      <c r="Q303"/>
    </row>
    <row r="304" spans="16:17" x14ac:dyDescent="0.3">
      <c r="P304" s="209" t="s">
        <v>346</v>
      </c>
      <c r="Q304"/>
    </row>
    <row r="305" spans="16:17" x14ac:dyDescent="0.3">
      <c r="P305" s="209" t="s">
        <v>347</v>
      </c>
      <c r="Q305"/>
    </row>
    <row r="306" spans="16:17" x14ac:dyDescent="0.3">
      <c r="P306" s="209" t="s">
        <v>348</v>
      </c>
      <c r="Q306"/>
    </row>
    <row r="307" spans="16:17" x14ac:dyDescent="0.3">
      <c r="P307" s="209" t="s">
        <v>349</v>
      </c>
      <c r="Q307"/>
    </row>
    <row r="308" spans="16:17" x14ac:dyDescent="0.3">
      <c r="P308" s="209" t="s">
        <v>350</v>
      </c>
      <c r="Q308"/>
    </row>
    <row r="309" spans="16:17" x14ac:dyDescent="0.3">
      <c r="P309" s="209" t="s">
        <v>351</v>
      </c>
      <c r="Q309"/>
    </row>
    <row r="310" spans="16:17" x14ac:dyDescent="0.3">
      <c r="P310" s="209" t="s">
        <v>352</v>
      </c>
      <c r="Q310"/>
    </row>
    <row r="311" spans="16:17" x14ac:dyDescent="0.3">
      <c r="P311" s="209" t="s">
        <v>353</v>
      </c>
      <c r="Q311"/>
    </row>
    <row r="312" spans="16:17" x14ac:dyDescent="0.3">
      <c r="P312" s="209" t="s">
        <v>354</v>
      </c>
      <c r="Q312"/>
    </row>
    <row r="313" spans="16:17" x14ac:dyDescent="0.3">
      <c r="P313" s="209" t="s">
        <v>355</v>
      </c>
      <c r="Q313"/>
    </row>
    <row r="314" spans="16:17" x14ac:dyDescent="0.3">
      <c r="P314" s="209" t="s">
        <v>356</v>
      </c>
      <c r="Q314"/>
    </row>
    <row r="315" spans="16:17" x14ac:dyDescent="0.3">
      <c r="P315" s="209" t="s">
        <v>357</v>
      </c>
      <c r="Q315"/>
    </row>
    <row r="316" spans="16:17" x14ac:dyDescent="0.3">
      <c r="P316" s="209" t="s">
        <v>358</v>
      </c>
      <c r="Q316"/>
    </row>
    <row r="317" spans="16:17" x14ac:dyDescent="0.3">
      <c r="P317" s="209" t="s">
        <v>359</v>
      </c>
      <c r="Q317"/>
    </row>
    <row r="318" spans="16:17" x14ac:dyDescent="0.3">
      <c r="P318" s="209" t="s">
        <v>360</v>
      </c>
      <c r="Q318"/>
    </row>
    <row r="319" spans="16:17" x14ac:dyDescent="0.3">
      <c r="P319" s="209" t="s">
        <v>361</v>
      </c>
      <c r="Q319"/>
    </row>
    <row r="320" spans="16:17" x14ac:dyDescent="0.3">
      <c r="P320" s="209" t="s">
        <v>362</v>
      </c>
      <c r="Q320"/>
    </row>
    <row r="321" spans="16:17" x14ac:dyDescent="0.3">
      <c r="P321" s="209" t="s">
        <v>363</v>
      </c>
      <c r="Q321"/>
    </row>
    <row r="322" spans="16:17" x14ac:dyDescent="0.3">
      <c r="P322" s="209" t="s">
        <v>364</v>
      </c>
      <c r="Q322"/>
    </row>
    <row r="323" spans="16:17" x14ac:dyDescent="0.3">
      <c r="P323" s="209" t="s">
        <v>365</v>
      </c>
      <c r="Q323"/>
    </row>
    <row r="324" spans="16:17" x14ac:dyDescent="0.3">
      <c r="P324" s="209" t="s">
        <v>366</v>
      </c>
      <c r="Q324"/>
    </row>
    <row r="325" spans="16:17" x14ac:dyDescent="0.3">
      <c r="P325" s="209" t="s">
        <v>367</v>
      </c>
      <c r="Q325"/>
    </row>
    <row r="326" spans="16:17" x14ac:dyDescent="0.3">
      <c r="P326" s="209" t="s">
        <v>368</v>
      </c>
      <c r="Q326"/>
    </row>
    <row r="327" spans="16:17" x14ac:dyDescent="0.3">
      <c r="P327" s="209" t="s">
        <v>369</v>
      </c>
      <c r="Q327"/>
    </row>
    <row r="328" spans="16:17" x14ac:dyDescent="0.3">
      <c r="P328" s="209" t="s">
        <v>370</v>
      </c>
      <c r="Q328"/>
    </row>
    <row r="329" spans="16:17" x14ac:dyDescent="0.3">
      <c r="P329" s="209" t="s">
        <v>371</v>
      </c>
      <c r="Q329"/>
    </row>
    <row r="330" spans="16:17" x14ac:dyDescent="0.3">
      <c r="P330" s="209" t="s">
        <v>372</v>
      </c>
      <c r="Q330"/>
    </row>
    <row r="331" spans="16:17" x14ac:dyDescent="0.3">
      <c r="P331" s="209" t="s">
        <v>373</v>
      </c>
      <c r="Q331"/>
    </row>
    <row r="332" spans="16:17" x14ac:dyDescent="0.3">
      <c r="P332" s="209" t="s">
        <v>374</v>
      </c>
      <c r="Q332"/>
    </row>
    <row r="333" spans="16:17" x14ac:dyDescent="0.3">
      <c r="P333" s="209" t="s">
        <v>375</v>
      </c>
      <c r="Q333"/>
    </row>
    <row r="334" spans="16:17" x14ac:dyDescent="0.3">
      <c r="P334" s="209" t="s">
        <v>376</v>
      </c>
      <c r="Q334"/>
    </row>
    <row r="335" spans="16:17" x14ac:dyDescent="0.3">
      <c r="P335" s="209" t="s">
        <v>377</v>
      </c>
      <c r="Q335"/>
    </row>
    <row r="336" spans="16:17" x14ac:dyDescent="0.3">
      <c r="P336" s="209" t="s">
        <v>378</v>
      </c>
      <c r="Q336"/>
    </row>
    <row r="337" spans="16:17" x14ac:dyDescent="0.3">
      <c r="P337" s="209" t="s">
        <v>379</v>
      </c>
      <c r="Q337"/>
    </row>
    <row r="338" spans="16:17" x14ac:dyDescent="0.3">
      <c r="P338" s="209" t="s">
        <v>380</v>
      </c>
      <c r="Q338"/>
    </row>
    <row r="339" spans="16:17" x14ac:dyDescent="0.3">
      <c r="P339" s="209" t="s">
        <v>381</v>
      </c>
      <c r="Q339"/>
    </row>
    <row r="340" spans="16:17" x14ac:dyDescent="0.3">
      <c r="P340" s="209" t="s">
        <v>382</v>
      </c>
      <c r="Q340"/>
    </row>
    <row r="341" spans="16:17" x14ac:dyDescent="0.3">
      <c r="P341" s="209" t="s">
        <v>383</v>
      </c>
      <c r="Q341"/>
    </row>
    <row r="342" spans="16:17" x14ac:dyDescent="0.3">
      <c r="P342" s="209" t="s">
        <v>384</v>
      </c>
      <c r="Q342"/>
    </row>
    <row r="343" spans="16:17" x14ac:dyDescent="0.3">
      <c r="P343" s="209" t="s">
        <v>385</v>
      </c>
      <c r="Q343"/>
    </row>
    <row r="344" spans="16:17" x14ac:dyDescent="0.3">
      <c r="P344" s="209" t="s">
        <v>386</v>
      </c>
      <c r="Q344"/>
    </row>
    <row r="345" spans="16:17" x14ac:dyDescent="0.3">
      <c r="P345" s="209" t="s">
        <v>387</v>
      </c>
      <c r="Q345"/>
    </row>
    <row r="346" spans="16:17" x14ac:dyDescent="0.3">
      <c r="P346" s="209" t="s">
        <v>388</v>
      </c>
      <c r="Q346"/>
    </row>
    <row r="347" spans="16:17" x14ac:dyDescent="0.3">
      <c r="P347" s="209" t="s">
        <v>389</v>
      </c>
      <c r="Q347"/>
    </row>
    <row r="348" spans="16:17" x14ac:dyDescent="0.3">
      <c r="P348" s="209" t="s">
        <v>390</v>
      </c>
      <c r="Q348"/>
    </row>
    <row r="349" spans="16:17" x14ac:dyDescent="0.3">
      <c r="P349" s="209" t="s">
        <v>391</v>
      </c>
      <c r="Q349"/>
    </row>
    <row r="350" spans="16:17" x14ac:dyDescent="0.3">
      <c r="P350" s="209" t="s">
        <v>392</v>
      </c>
      <c r="Q350"/>
    </row>
    <row r="351" spans="16:17" x14ac:dyDescent="0.3">
      <c r="P351" s="209" t="s">
        <v>393</v>
      </c>
      <c r="Q351"/>
    </row>
    <row r="352" spans="16:17" x14ac:dyDescent="0.3">
      <c r="P352" s="209" t="s">
        <v>394</v>
      </c>
      <c r="Q352"/>
    </row>
    <row r="353" spans="16:17" x14ac:dyDescent="0.3">
      <c r="P353" s="209" t="s">
        <v>395</v>
      </c>
      <c r="Q353"/>
    </row>
    <row r="354" spans="16:17" x14ac:dyDescent="0.3">
      <c r="P354" s="209" t="s">
        <v>396</v>
      </c>
      <c r="Q354"/>
    </row>
    <row r="355" spans="16:17" x14ac:dyDescent="0.3">
      <c r="P355" s="209" t="s">
        <v>397</v>
      </c>
      <c r="Q355"/>
    </row>
    <row r="356" spans="16:17" x14ac:dyDescent="0.3">
      <c r="P356" s="209" t="s">
        <v>398</v>
      </c>
      <c r="Q356"/>
    </row>
    <row r="357" spans="16:17" x14ac:dyDescent="0.3">
      <c r="P357" s="209" t="s">
        <v>399</v>
      </c>
      <c r="Q357"/>
    </row>
    <row r="358" spans="16:17" x14ac:dyDescent="0.3">
      <c r="P358" s="209" t="s">
        <v>400</v>
      </c>
      <c r="Q358"/>
    </row>
    <row r="359" spans="16:17" x14ac:dyDescent="0.3">
      <c r="P359" s="209" t="s">
        <v>401</v>
      </c>
      <c r="Q359"/>
    </row>
    <row r="360" spans="16:17" x14ac:dyDescent="0.3">
      <c r="P360" s="209" t="s">
        <v>402</v>
      </c>
      <c r="Q360"/>
    </row>
    <row r="361" spans="16:17" x14ac:dyDescent="0.3">
      <c r="P361" s="209" t="s">
        <v>403</v>
      </c>
      <c r="Q361"/>
    </row>
    <row r="362" spans="16:17" x14ac:dyDescent="0.3">
      <c r="P362" s="209" t="s">
        <v>404</v>
      </c>
      <c r="Q362"/>
    </row>
    <row r="363" spans="16:17" x14ac:dyDescent="0.3">
      <c r="P363" s="209" t="s">
        <v>405</v>
      </c>
      <c r="Q363"/>
    </row>
    <row r="364" spans="16:17" x14ac:dyDescent="0.3">
      <c r="P364" s="209" t="s">
        <v>406</v>
      </c>
      <c r="Q364"/>
    </row>
    <row r="365" spans="16:17" x14ac:dyDescent="0.3">
      <c r="P365" s="209" t="s">
        <v>407</v>
      </c>
      <c r="Q365"/>
    </row>
    <row r="366" spans="16:17" x14ac:dyDescent="0.3">
      <c r="P366" s="209" t="s">
        <v>408</v>
      </c>
      <c r="Q366"/>
    </row>
    <row r="367" spans="16:17" x14ac:dyDescent="0.3">
      <c r="P367" s="209" t="s">
        <v>409</v>
      </c>
      <c r="Q367"/>
    </row>
    <row r="368" spans="16:17" x14ac:dyDescent="0.3">
      <c r="P368" s="209" t="s">
        <v>410</v>
      </c>
      <c r="Q368"/>
    </row>
    <row r="369" spans="16:17" x14ac:dyDescent="0.3">
      <c r="P369" s="209" t="s">
        <v>411</v>
      </c>
      <c r="Q369"/>
    </row>
    <row r="370" spans="16:17" x14ac:dyDescent="0.3">
      <c r="P370" s="209" t="s">
        <v>412</v>
      </c>
      <c r="Q370"/>
    </row>
    <row r="371" spans="16:17" x14ac:dyDescent="0.3">
      <c r="P371" s="209" t="s">
        <v>413</v>
      </c>
      <c r="Q371"/>
    </row>
    <row r="372" spans="16:17" x14ac:dyDescent="0.3">
      <c r="P372" s="209" t="s">
        <v>414</v>
      </c>
      <c r="Q372"/>
    </row>
    <row r="373" spans="16:17" x14ac:dyDescent="0.3">
      <c r="P373" s="209" t="s">
        <v>415</v>
      </c>
      <c r="Q373"/>
    </row>
    <row r="374" spans="16:17" x14ac:dyDescent="0.3">
      <c r="P374" s="209" t="s">
        <v>416</v>
      </c>
      <c r="Q374"/>
    </row>
    <row r="375" spans="16:17" x14ac:dyDescent="0.3">
      <c r="P375" s="209" t="s">
        <v>417</v>
      </c>
      <c r="Q375"/>
    </row>
    <row r="376" spans="16:17" x14ac:dyDescent="0.3">
      <c r="P376" s="209" t="s">
        <v>418</v>
      </c>
      <c r="Q376"/>
    </row>
    <row r="377" spans="16:17" x14ac:dyDescent="0.3">
      <c r="P377" s="209" t="s">
        <v>419</v>
      </c>
      <c r="Q377"/>
    </row>
    <row r="378" spans="16:17" x14ac:dyDescent="0.3">
      <c r="P378" s="209" t="s">
        <v>420</v>
      </c>
      <c r="Q378"/>
    </row>
    <row r="379" spans="16:17" x14ac:dyDescent="0.3">
      <c r="P379" s="209" t="s">
        <v>421</v>
      </c>
      <c r="Q379"/>
    </row>
    <row r="380" spans="16:17" x14ac:dyDescent="0.3">
      <c r="P380" s="209" t="s">
        <v>422</v>
      </c>
      <c r="Q380"/>
    </row>
    <row r="381" spans="16:17" x14ac:dyDescent="0.3">
      <c r="P381" s="209" t="s">
        <v>423</v>
      </c>
      <c r="Q381"/>
    </row>
    <row r="382" spans="16:17" x14ac:dyDescent="0.3">
      <c r="P382" s="209" t="s">
        <v>424</v>
      </c>
      <c r="Q382"/>
    </row>
    <row r="383" spans="16:17" x14ac:dyDescent="0.3">
      <c r="P383" s="209" t="s">
        <v>425</v>
      </c>
      <c r="Q383"/>
    </row>
    <row r="384" spans="16:17" x14ac:dyDescent="0.3">
      <c r="P384" s="209" t="s">
        <v>426</v>
      </c>
      <c r="Q384"/>
    </row>
    <row r="385" spans="16:17" x14ac:dyDescent="0.3">
      <c r="P385" s="209" t="s">
        <v>427</v>
      </c>
      <c r="Q385"/>
    </row>
    <row r="386" spans="16:17" x14ac:dyDescent="0.3">
      <c r="P386" s="209" t="s">
        <v>428</v>
      </c>
      <c r="Q386"/>
    </row>
    <row r="387" spans="16:17" x14ac:dyDescent="0.3">
      <c r="P387" s="209" t="s">
        <v>429</v>
      </c>
      <c r="Q387"/>
    </row>
    <row r="388" spans="16:17" x14ac:dyDescent="0.3">
      <c r="P388" s="209" t="s">
        <v>430</v>
      </c>
      <c r="Q388"/>
    </row>
    <row r="389" spans="16:17" x14ac:dyDescent="0.3">
      <c r="P389" s="209" t="s">
        <v>431</v>
      </c>
      <c r="Q389"/>
    </row>
    <row r="390" spans="16:17" x14ac:dyDescent="0.3">
      <c r="P390" s="209" t="s">
        <v>432</v>
      </c>
      <c r="Q390"/>
    </row>
    <row r="391" spans="16:17" x14ac:dyDescent="0.3">
      <c r="P391" s="209" t="s">
        <v>433</v>
      </c>
      <c r="Q391"/>
    </row>
    <row r="392" spans="16:17" x14ac:dyDescent="0.3">
      <c r="P392" s="209" t="s">
        <v>434</v>
      </c>
      <c r="Q392"/>
    </row>
    <row r="393" spans="16:17" x14ac:dyDescent="0.3">
      <c r="P393" s="209" t="s">
        <v>435</v>
      </c>
      <c r="Q393"/>
    </row>
    <row r="394" spans="16:17" x14ac:dyDescent="0.3">
      <c r="P394" s="209" t="s">
        <v>436</v>
      </c>
      <c r="Q394"/>
    </row>
    <row r="395" spans="16:17" x14ac:dyDescent="0.3">
      <c r="P395" s="209" t="s">
        <v>437</v>
      </c>
      <c r="Q395"/>
    </row>
    <row r="396" spans="16:17" x14ac:dyDescent="0.3">
      <c r="P396" s="209" t="s">
        <v>438</v>
      </c>
      <c r="Q396"/>
    </row>
    <row r="397" spans="16:17" x14ac:dyDescent="0.3">
      <c r="P397" s="209" t="s">
        <v>439</v>
      </c>
      <c r="Q397"/>
    </row>
    <row r="398" spans="16:17" x14ac:dyDescent="0.3">
      <c r="P398" s="209" t="s">
        <v>440</v>
      </c>
      <c r="Q398"/>
    </row>
    <row r="399" spans="16:17" x14ac:dyDescent="0.3">
      <c r="P399" s="209" t="s">
        <v>441</v>
      </c>
      <c r="Q399"/>
    </row>
    <row r="400" spans="16:17" x14ac:dyDescent="0.3">
      <c r="P400" s="209" t="s">
        <v>442</v>
      </c>
      <c r="Q400"/>
    </row>
    <row r="401" spans="16:17" x14ac:dyDescent="0.3">
      <c r="P401" s="209" t="s">
        <v>443</v>
      </c>
      <c r="Q401"/>
    </row>
    <row r="402" spans="16:17" x14ac:dyDescent="0.3">
      <c r="P402" s="209" t="s">
        <v>444</v>
      </c>
      <c r="Q402"/>
    </row>
    <row r="403" spans="16:17" x14ac:dyDescent="0.3">
      <c r="P403" s="209" t="s">
        <v>445</v>
      </c>
      <c r="Q403"/>
    </row>
    <row r="404" spans="16:17" x14ac:dyDescent="0.3">
      <c r="P404" s="209" t="s">
        <v>446</v>
      </c>
      <c r="Q404"/>
    </row>
    <row r="405" spans="16:17" x14ac:dyDescent="0.3">
      <c r="P405" s="209" t="s">
        <v>447</v>
      </c>
      <c r="Q405"/>
    </row>
    <row r="406" spans="16:17" x14ac:dyDescent="0.3">
      <c r="P406" s="209" t="s">
        <v>448</v>
      </c>
      <c r="Q406"/>
    </row>
    <row r="407" spans="16:17" x14ac:dyDescent="0.3">
      <c r="P407" s="209" t="s">
        <v>449</v>
      </c>
      <c r="Q407"/>
    </row>
    <row r="408" spans="16:17" x14ac:dyDescent="0.3">
      <c r="P408" s="209" t="s">
        <v>450</v>
      </c>
      <c r="Q408"/>
    </row>
    <row r="409" spans="16:17" x14ac:dyDescent="0.3">
      <c r="P409" s="209" t="s">
        <v>451</v>
      </c>
      <c r="Q409"/>
    </row>
    <row r="410" spans="16:17" x14ac:dyDescent="0.3">
      <c r="P410" s="209" t="s">
        <v>452</v>
      </c>
      <c r="Q410"/>
    </row>
    <row r="411" spans="16:17" x14ac:dyDescent="0.3">
      <c r="P411" s="209" t="s">
        <v>453</v>
      </c>
      <c r="Q411"/>
    </row>
    <row r="412" spans="16:17" x14ac:dyDescent="0.3">
      <c r="P412" s="209" t="s">
        <v>454</v>
      </c>
      <c r="Q412"/>
    </row>
    <row r="413" spans="16:17" x14ac:dyDescent="0.3">
      <c r="P413" s="209" t="s">
        <v>455</v>
      </c>
      <c r="Q413"/>
    </row>
    <row r="414" spans="16:17" x14ac:dyDescent="0.3">
      <c r="P414" s="209" t="s">
        <v>456</v>
      </c>
      <c r="Q414"/>
    </row>
    <row r="415" spans="16:17" x14ac:dyDescent="0.3">
      <c r="P415" s="209" t="s">
        <v>457</v>
      </c>
      <c r="Q415"/>
    </row>
    <row r="416" spans="16:17" x14ac:dyDescent="0.3">
      <c r="P416" s="209" t="s">
        <v>458</v>
      </c>
      <c r="Q416"/>
    </row>
    <row r="417" spans="16:17" x14ac:dyDescent="0.3">
      <c r="P417" s="209" t="s">
        <v>459</v>
      </c>
      <c r="Q417"/>
    </row>
    <row r="418" spans="16:17" x14ac:dyDescent="0.3">
      <c r="P418" s="209" t="s">
        <v>460</v>
      </c>
      <c r="Q418"/>
    </row>
    <row r="419" spans="16:17" x14ac:dyDescent="0.3">
      <c r="P419" s="209" t="s">
        <v>461</v>
      </c>
      <c r="Q419"/>
    </row>
    <row r="420" spans="16:17" x14ac:dyDescent="0.3">
      <c r="P420" s="209" t="s">
        <v>462</v>
      </c>
      <c r="Q420"/>
    </row>
    <row r="421" spans="16:17" x14ac:dyDescent="0.3">
      <c r="P421" s="209" t="s">
        <v>463</v>
      </c>
      <c r="Q421"/>
    </row>
    <row r="422" spans="16:17" x14ac:dyDescent="0.3">
      <c r="P422" s="209" t="s">
        <v>464</v>
      </c>
      <c r="Q422"/>
    </row>
    <row r="423" spans="16:17" x14ac:dyDescent="0.3">
      <c r="P423" s="209" t="s">
        <v>465</v>
      </c>
      <c r="Q423"/>
    </row>
    <row r="424" spans="16:17" x14ac:dyDescent="0.3">
      <c r="P424" s="209" t="s">
        <v>466</v>
      </c>
      <c r="Q424"/>
    </row>
    <row r="425" spans="16:17" x14ac:dyDescent="0.3">
      <c r="P425" s="209" t="s">
        <v>467</v>
      </c>
      <c r="Q425"/>
    </row>
    <row r="426" spans="16:17" x14ac:dyDescent="0.3">
      <c r="P426" s="209" t="s">
        <v>468</v>
      </c>
      <c r="Q426"/>
    </row>
    <row r="427" spans="16:17" x14ac:dyDescent="0.3">
      <c r="P427" s="209" t="s">
        <v>469</v>
      </c>
      <c r="Q427"/>
    </row>
    <row r="428" spans="16:17" x14ac:dyDescent="0.3">
      <c r="P428" s="209" t="s">
        <v>470</v>
      </c>
      <c r="Q428"/>
    </row>
    <row r="429" spans="16:17" x14ac:dyDescent="0.3">
      <c r="P429" s="209" t="s">
        <v>471</v>
      </c>
      <c r="Q429"/>
    </row>
    <row r="430" spans="16:17" x14ac:dyDescent="0.3">
      <c r="P430" s="209" t="s">
        <v>472</v>
      </c>
      <c r="Q430"/>
    </row>
    <row r="431" spans="16:17" x14ac:dyDescent="0.3">
      <c r="P431" s="209" t="s">
        <v>473</v>
      </c>
      <c r="Q431"/>
    </row>
    <row r="432" spans="16:17" x14ac:dyDescent="0.3">
      <c r="P432" s="209" t="s">
        <v>474</v>
      </c>
      <c r="Q432"/>
    </row>
    <row r="433" spans="16:17" x14ac:dyDescent="0.3">
      <c r="P433" s="209" t="s">
        <v>475</v>
      </c>
      <c r="Q433"/>
    </row>
    <row r="434" spans="16:17" x14ac:dyDescent="0.3">
      <c r="P434" s="209" t="s">
        <v>476</v>
      </c>
      <c r="Q434"/>
    </row>
    <row r="435" spans="16:17" x14ac:dyDescent="0.3">
      <c r="P435" s="209" t="s">
        <v>477</v>
      </c>
      <c r="Q435"/>
    </row>
    <row r="436" spans="16:17" x14ac:dyDescent="0.3">
      <c r="P436" s="209" t="s">
        <v>478</v>
      </c>
      <c r="Q436"/>
    </row>
    <row r="437" spans="16:17" x14ac:dyDescent="0.3">
      <c r="P437" s="209" t="s">
        <v>479</v>
      </c>
      <c r="Q437"/>
    </row>
    <row r="438" spans="16:17" x14ac:dyDescent="0.3">
      <c r="P438" s="209" t="s">
        <v>480</v>
      </c>
      <c r="Q438"/>
    </row>
    <row r="439" spans="16:17" x14ac:dyDescent="0.3">
      <c r="P439" s="209" t="s">
        <v>481</v>
      </c>
      <c r="Q439"/>
    </row>
    <row r="440" spans="16:17" x14ac:dyDescent="0.3">
      <c r="P440" s="209" t="s">
        <v>482</v>
      </c>
      <c r="Q440"/>
    </row>
    <row r="441" spans="16:17" x14ac:dyDescent="0.3">
      <c r="P441" s="209" t="s">
        <v>483</v>
      </c>
      <c r="Q441"/>
    </row>
    <row r="442" spans="16:17" x14ac:dyDescent="0.3">
      <c r="P442" s="209" t="s">
        <v>484</v>
      </c>
      <c r="Q442"/>
    </row>
    <row r="443" spans="16:17" x14ac:dyDescent="0.3">
      <c r="P443" s="209" t="s">
        <v>485</v>
      </c>
      <c r="Q443"/>
    </row>
    <row r="444" spans="16:17" x14ac:dyDescent="0.3">
      <c r="P444" s="209" t="s">
        <v>486</v>
      </c>
      <c r="Q444"/>
    </row>
    <row r="445" spans="16:17" x14ac:dyDescent="0.3">
      <c r="P445" s="209" t="s">
        <v>487</v>
      </c>
      <c r="Q445"/>
    </row>
    <row r="446" spans="16:17" x14ac:dyDescent="0.3">
      <c r="P446" s="209" t="s">
        <v>488</v>
      </c>
      <c r="Q446"/>
    </row>
    <row r="447" spans="16:17" x14ac:dyDescent="0.3">
      <c r="P447" s="209" t="s">
        <v>489</v>
      </c>
      <c r="Q447"/>
    </row>
    <row r="448" spans="16:17" x14ac:dyDescent="0.3">
      <c r="P448" s="209" t="s">
        <v>490</v>
      </c>
      <c r="Q448"/>
    </row>
    <row r="449" spans="16:17" x14ac:dyDescent="0.3">
      <c r="P449" s="209" t="s">
        <v>491</v>
      </c>
      <c r="Q449"/>
    </row>
    <row r="450" spans="16:17" x14ac:dyDescent="0.3">
      <c r="P450" s="209" t="s">
        <v>492</v>
      </c>
      <c r="Q450"/>
    </row>
    <row r="451" spans="16:17" x14ac:dyDescent="0.3">
      <c r="P451" s="209" t="s">
        <v>493</v>
      </c>
      <c r="Q451"/>
    </row>
    <row r="452" spans="16:17" x14ac:dyDescent="0.3">
      <c r="P452" s="209" t="s">
        <v>494</v>
      </c>
      <c r="Q452"/>
    </row>
    <row r="453" spans="16:17" x14ac:dyDescent="0.3">
      <c r="P453" s="209" t="s">
        <v>495</v>
      </c>
      <c r="Q453"/>
    </row>
    <row r="454" spans="16:17" x14ac:dyDescent="0.3">
      <c r="P454" s="209" t="s">
        <v>496</v>
      </c>
      <c r="Q454"/>
    </row>
    <row r="455" spans="16:17" x14ac:dyDescent="0.3">
      <c r="P455" s="209" t="s">
        <v>497</v>
      </c>
      <c r="Q455"/>
    </row>
    <row r="456" spans="16:17" x14ac:dyDescent="0.3">
      <c r="P456" s="209" t="s">
        <v>498</v>
      </c>
      <c r="Q456"/>
    </row>
    <row r="457" spans="16:17" x14ac:dyDescent="0.3">
      <c r="P457" s="209" t="s">
        <v>499</v>
      </c>
      <c r="Q457"/>
    </row>
    <row r="458" spans="16:17" x14ac:dyDescent="0.3">
      <c r="P458" s="209" t="s">
        <v>500</v>
      </c>
      <c r="Q458"/>
    </row>
    <row r="459" spans="16:17" x14ac:dyDescent="0.3">
      <c r="P459" s="209" t="s">
        <v>501</v>
      </c>
      <c r="Q459"/>
    </row>
    <row r="460" spans="16:17" x14ac:dyDescent="0.3">
      <c r="P460" s="209" t="s">
        <v>502</v>
      </c>
      <c r="Q460"/>
    </row>
    <row r="461" spans="16:17" x14ac:dyDescent="0.3">
      <c r="P461" s="209" t="s">
        <v>503</v>
      </c>
      <c r="Q461"/>
    </row>
    <row r="462" spans="16:17" x14ac:dyDescent="0.3">
      <c r="P462" s="209" t="s">
        <v>504</v>
      </c>
      <c r="Q462"/>
    </row>
    <row r="463" spans="16:17" x14ac:dyDescent="0.3">
      <c r="P463" s="209" t="s">
        <v>505</v>
      </c>
      <c r="Q463"/>
    </row>
    <row r="464" spans="16:17" x14ac:dyDescent="0.3">
      <c r="P464" s="209" t="s">
        <v>506</v>
      </c>
      <c r="Q464"/>
    </row>
    <row r="465" spans="16:17" x14ac:dyDescent="0.3">
      <c r="P465" s="209" t="s">
        <v>507</v>
      </c>
      <c r="Q465"/>
    </row>
    <row r="466" spans="16:17" x14ac:dyDescent="0.3">
      <c r="P466" s="209" t="s">
        <v>508</v>
      </c>
      <c r="Q466"/>
    </row>
    <row r="467" spans="16:17" x14ac:dyDescent="0.3">
      <c r="P467" s="209" t="s">
        <v>509</v>
      </c>
      <c r="Q467"/>
    </row>
    <row r="468" spans="16:17" x14ac:dyDescent="0.3">
      <c r="P468" s="209" t="s">
        <v>510</v>
      </c>
      <c r="Q468"/>
    </row>
    <row r="469" spans="16:17" x14ac:dyDescent="0.3">
      <c r="P469" s="209" t="s">
        <v>511</v>
      </c>
      <c r="Q469"/>
    </row>
    <row r="470" spans="16:17" x14ac:dyDescent="0.3">
      <c r="P470" s="209" t="s">
        <v>512</v>
      </c>
      <c r="Q470"/>
    </row>
    <row r="471" spans="16:17" x14ac:dyDescent="0.3">
      <c r="P471" s="209" t="s">
        <v>513</v>
      </c>
      <c r="Q471"/>
    </row>
    <row r="472" spans="16:17" x14ac:dyDescent="0.3">
      <c r="P472" s="209" t="s">
        <v>514</v>
      </c>
      <c r="Q472"/>
    </row>
    <row r="473" spans="16:17" x14ac:dyDescent="0.3">
      <c r="P473" s="209" t="s">
        <v>515</v>
      </c>
      <c r="Q473"/>
    </row>
    <row r="474" spans="16:17" x14ac:dyDescent="0.3">
      <c r="P474" s="209" t="s">
        <v>516</v>
      </c>
      <c r="Q474"/>
    </row>
    <row r="475" spans="16:17" x14ac:dyDescent="0.3">
      <c r="P475" s="209" t="s">
        <v>517</v>
      </c>
      <c r="Q475"/>
    </row>
    <row r="476" spans="16:17" x14ac:dyDescent="0.3">
      <c r="P476" s="209" t="s">
        <v>518</v>
      </c>
      <c r="Q476"/>
    </row>
    <row r="477" spans="16:17" x14ac:dyDescent="0.3">
      <c r="P477" s="209" t="s">
        <v>519</v>
      </c>
      <c r="Q477"/>
    </row>
    <row r="478" spans="16:17" x14ac:dyDescent="0.3">
      <c r="P478" s="209" t="s">
        <v>520</v>
      </c>
      <c r="Q478"/>
    </row>
    <row r="479" spans="16:17" x14ac:dyDescent="0.3">
      <c r="P479" s="209" t="s">
        <v>521</v>
      </c>
      <c r="Q479"/>
    </row>
    <row r="480" spans="16:17" x14ac:dyDescent="0.3">
      <c r="P480" s="209" t="s">
        <v>522</v>
      </c>
      <c r="Q480"/>
    </row>
    <row r="481" spans="16:17" x14ac:dyDescent="0.3">
      <c r="P481" s="209" t="s">
        <v>523</v>
      </c>
      <c r="Q481"/>
    </row>
    <row r="482" spans="16:17" x14ac:dyDescent="0.3">
      <c r="P482" s="209" t="s">
        <v>524</v>
      </c>
      <c r="Q482"/>
    </row>
    <row r="483" spans="16:17" x14ac:dyDescent="0.3">
      <c r="P483" s="209" t="s">
        <v>525</v>
      </c>
      <c r="Q483"/>
    </row>
    <row r="484" spans="16:17" x14ac:dyDescent="0.3">
      <c r="P484" s="209" t="s">
        <v>526</v>
      </c>
      <c r="Q484"/>
    </row>
    <row r="485" spans="16:17" x14ac:dyDescent="0.3">
      <c r="P485" s="209" t="s">
        <v>527</v>
      </c>
      <c r="Q485"/>
    </row>
    <row r="486" spans="16:17" x14ac:dyDescent="0.3">
      <c r="P486" s="209" t="s">
        <v>528</v>
      </c>
      <c r="Q486"/>
    </row>
    <row r="487" spans="16:17" x14ac:dyDescent="0.3">
      <c r="P487" s="209" t="s">
        <v>529</v>
      </c>
      <c r="Q487"/>
    </row>
    <row r="488" spans="16:17" x14ac:dyDescent="0.3">
      <c r="P488" s="209" t="s">
        <v>530</v>
      </c>
      <c r="Q488"/>
    </row>
    <row r="489" spans="16:17" x14ac:dyDescent="0.3">
      <c r="P489" s="209" t="s">
        <v>531</v>
      </c>
      <c r="Q489"/>
    </row>
    <row r="490" spans="16:17" x14ac:dyDescent="0.3">
      <c r="P490" s="209" t="s">
        <v>532</v>
      </c>
      <c r="Q490"/>
    </row>
    <row r="491" spans="16:17" x14ac:dyDescent="0.3">
      <c r="P491" s="209" t="s">
        <v>533</v>
      </c>
      <c r="Q491"/>
    </row>
    <row r="492" spans="16:17" x14ac:dyDescent="0.3">
      <c r="P492" s="209" t="s">
        <v>534</v>
      </c>
      <c r="Q492"/>
    </row>
    <row r="493" spans="16:17" x14ac:dyDescent="0.3">
      <c r="P493" s="209" t="s">
        <v>535</v>
      </c>
      <c r="Q493"/>
    </row>
    <row r="494" spans="16:17" x14ac:dyDescent="0.3">
      <c r="P494" s="209" t="s">
        <v>536</v>
      </c>
      <c r="Q494"/>
    </row>
    <row r="495" spans="16:17" x14ac:dyDescent="0.3">
      <c r="P495" s="209" t="s">
        <v>537</v>
      </c>
      <c r="Q495"/>
    </row>
    <row r="496" spans="16:17" x14ac:dyDescent="0.3">
      <c r="P496" s="209" t="s">
        <v>538</v>
      </c>
      <c r="Q496"/>
    </row>
    <row r="497" spans="16:17" x14ac:dyDescent="0.3">
      <c r="P497" s="209" t="s">
        <v>539</v>
      </c>
      <c r="Q497"/>
    </row>
    <row r="498" spans="16:17" x14ac:dyDescent="0.3">
      <c r="P498" s="209" t="s">
        <v>540</v>
      </c>
      <c r="Q498"/>
    </row>
    <row r="499" spans="16:17" x14ac:dyDescent="0.3">
      <c r="P499" s="209" t="s">
        <v>541</v>
      </c>
      <c r="Q499"/>
    </row>
    <row r="500" spans="16:17" x14ac:dyDescent="0.3">
      <c r="P500" s="209" t="s">
        <v>542</v>
      </c>
      <c r="Q500"/>
    </row>
    <row r="501" spans="16:17" x14ac:dyDescent="0.3">
      <c r="P501" s="209" t="s">
        <v>543</v>
      </c>
      <c r="Q501"/>
    </row>
    <row r="502" spans="16:17" x14ac:dyDescent="0.3">
      <c r="P502" s="209" t="s">
        <v>544</v>
      </c>
      <c r="Q502"/>
    </row>
    <row r="503" spans="16:17" x14ac:dyDescent="0.3">
      <c r="P503" s="209" t="s">
        <v>545</v>
      </c>
      <c r="Q503"/>
    </row>
    <row r="504" spans="16:17" x14ac:dyDescent="0.3">
      <c r="P504" s="209" t="s">
        <v>546</v>
      </c>
      <c r="Q504"/>
    </row>
    <row r="505" spans="16:17" x14ac:dyDescent="0.3">
      <c r="P505" s="209" t="s">
        <v>547</v>
      </c>
      <c r="Q505"/>
    </row>
    <row r="506" spans="16:17" x14ac:dyDescent="0.3">
      <c r="P506" s="209" t="s">
        <v>548</v>
      </c>
      <c r="Q506"/>
    </row>
    <row r="507" spans="16:17" x14ac:dyDescent="0.3">
      <c r="P507" s="209" t="s">
        <v>549</v>
      </c>
      <c r="Q507"/>
    </row>
    <row r="508" spans="16:17" x14ac:dyDescent="0.3">
      <c r="P508" s="209" t="s">
        <v>550</v>
      </c>
      <c r="Q508"/>
    </row>
    <row r="509" spans="16:17" x14ac:dyDescent="0.3">
      <c r="P509" s="209" t="s">
        <v>551</v>
      </c>
      <c r="Q509"/>
    </row>
    <row r="510" spans="16:17" x14ac:dyDescent="0.3">
      <c r="P510" s="209" t="s">
        <v>552</v>
      </c>
      <c r="Q510"/>
    </row>
    <row r="511" spans="16:17" x14ac:dyDescent="0.3">
      <c r="P511" s="209" t="s">
        <v>553</v>
      </c>
      <c r="Q511"/>
    </row>
    <row r="512" spans="16:17" x14ac:dyDescent="0.3">
      <c r="P512" s="209" t="s">
        <v>554</v>
      </c>
      <c r="Q512"/>
    </row>
    <row r="513" spans="16:17" x14ac:dyDescent="0.3">
      <c r="P513" s="209" t="s">
        <v>555</v>
      </c>
      <c r="Q513"/>
    </row>
    <row r="514" spans="16:17" x14ac:dyDescent="0.3">
      <c r="P514" s="209" t="s">
        <v>556</v>
      </c>
      <c r="Q514"/>
    </row>
    <row r="515" spans="16:17" x14ac:dyDescent="0.3">
      <c r="P515" s="209" t="s">
        <v>557</v>
      </c>
      <c r="Q515"/>
    </row>
    <row r="516" spans="16:17" x14ac:dyDescent="0.3">
      <c r="P516" s="209" t="s">
        <v>558</v>
      </c>
      <c r="Q516"/>
    </row>
    <row r="517" spans="16:17" x14ac:dyDescent="0.3">
      <c r="P517" s="209" t="s">
        <v>559</v>
      </c>
      <c r="Q517"/>
    </row>
    <row r="518" spans="16:17" x14ac:dyDescent="0.3">
      <c r="P518" s="209" t="s">
        <v>560</v>
      </c>
      <c r="Q518"/>
    </row>
    <row r="519" spans="16:17" x14ac:dyDescent="0.3">
      <c r="P519" s="209" t="s">
        <v>561</v>
      </c>
      <c r="Q519"/>
    </row>
    <row r="520" spans="16:17" x14ac:dyDescent="0.3">
      <c r="P520" s="209" t="s">
        <v>562</v>
      </c>
      <c r="Q520"/>
    </row>
    <row r="521" spans="16:17" x14ac:dyDescent="0.3">
      <c r="P521" s="209" t="s">
        <v>563</v>
      </c>
      <c r="Q521"/>
    </row>
    <row r="522" spans="16:17" x14ac:dyDescent="0.3">
      <c r="P522" s="209" t="s">
        <v>564</v>
      </c>
      <c r="Q522"/>
    </row>
    <row r="523" spans="16:17" x14ac:dyDescent="0.3">
      <c r="P523" s="209" t="s">
        <v>565</v>
      </c>
      <c r="Q523"/>
    </row>
    <row r="524" spans="16:17" x14ac:dyDescent="0.3">
      <c r="P524" s="209" t="s">
        <v>566</v>
      </c>
      <c r="Q524"/>
    </row>
    <row r="525" spans="16:17" x14ac:dyDescent="0.3">
      <c r="P525" s="209" t="s">
        <v>567</v>
      </c>
      <c r="Q525"/>
    </row>
    <row r="526" spans="16:17" x14ac:dyDescent="0.3">
      <c r="P526" s="209" t="s">
        <v>568</v>
      </c>
      <c r="Q526"/>
    </row>
    <row r="527" spans="16:17" x14ac:dyDescent="0.3">
      <c r="P527" s="209" t="s">
        <v>569</v>
      </c>
      <c r="Q527"/>
    </row>
    <row r="528" spans="16:17" x14ac:dyDescent="0.3">
      <c r="P528" s="209" t="s">
        <v>570</v>
      </c>
      <c r="Q528"/>
    </row>
    <row r="529" spans="16:17" x14ac:dyDescent="0.3">
      <c r="P529" s="209" t="s">
        <v>571</v>
      </c>
      <c r="Q529"/>
    </row>
    <row r="530" spans="16:17" x14ac:dyDescent="0.3">
      <c r="P530" s="209" t="s">
        <v>572</v>
      </c>
      <c r="Q530"/>
    </row>
    <row r="531" spans="16:17" x14ac:dyDescent="0.3">
      <c r="P531" s="209" t="s">
        <v>573</v>
      </c>
      <c r="Q531"/>
    </row>
    <row r="532" spans="16:17" x14ac:dyDescent="0.3">
      <c r="P532" s="209" t="s">
        <v>574</v>
      </c>
      <c r="Q532"/>
    </row>
    <row r="533" spans="16:17" x14ac:dyDescent="0.3">
      <c r="P533" s="209" t="s">
        <v>575</v>
      </c>
      <c r="Q533"/>
    </row>
    <row r="534" spans="16:17" x14ac:dyDescent="0.3">
      <c r="P534" s="209" t="s">
        <v>576</v>
      </c>
      <c r="Q534"/>
    </row>
    <row r="535" spans="16:17" x14ac:dyDescent="0.3">
      <c r="P535" s="209" t="s">
        <v>577</v>
      </c>
      <c r="Q535"/>
    </row>
    <row r="536" spans="16:17" x14ac:dyDescent="0.3">
      <c r="P536" s="209" t="s">
        <v>578</v>
      </c>
      <c r="Q536"/>
    </row>
    <row r="537" spans="16:17" x14ac:dyDescent="0.3">
      <c r="P537" s="209" t="s">
        <v>579</v>
      </c>
      <c r="Q537"/>
    </row>
    <row r="538" spans="16:17" x14ac:dyDescent="0.3">
      <c r="P538" s="209" t="s">
        <v>580</v>
      </c>
      <c r="Q538"/>
    </row>
    <row r="539" spans="16:17" x14ac:dyDescent="0.3">
      <c r="P539" s="209" t="s">
        <v>581</v>
      </c>
      <c r="Q539"/>
    </row>
    <row r="540" spans="16:17" x14ac:dyDescent="0.3">
      <c r="P540" s="209" t="s">
        <v>582</v>
      </c>
      <c r="Q540"/>
    </row>
    <row r="541" spans="16:17" x14ac:dyDescent="0.3">
      <c r="P541" s="209" t="s">
        <v>583</v>
      </c>
      <c r="Q541"/>
    </row>
    <row r="542" spans="16:17" x14ac:dyDescent="0.3">
      <c r="P542" s="209" t="s">
        <v>584</v>
      </c>
      <c r="Q542"/>
    </row>
    <row r="543" spans="16:17" x14ac:dyDescent="0.3">
      <c r="P543" s="209" t="s">
        <v>585</v>
      </c>
      <c r="Q543"/>
    </row>
    <row r="544" spans="16:17" x14ac:dyDescent="0.3">
      <c r="P544" s="209" t="s">
        <v>586</v>
      </c>
      <c r="Q544"/>
    </row>
    <row r="545" spans="16:17" x14ac:dyDescent="0.3">
      <c r="P545" s="209" t="s">
        <v>587</v>
      </c>
      <c r="Q545"/>
    </row>
    <row r="546" spans="16:17" x14ac:dyDescent="0.3">
      <c r="P546" s="209" t="s">
        <v>588</v>
      </c>
      <c r="Q546"/>
    </row>
    <row r="547" spans="16:17" x14ac:dyDescent="0.3">
      <c r="P547" s="209" t="s">
        <v>589</v>
      </c>
      <c r="Q547"/>
    </row>
    <row r="548" spans="16:17" x14ac:dyDescent="0.3">
      <c r="P548" s="209" t="s">
        <v>590</v>
      </c>
      <c r="Q548"/>
    </row>
    <row r="549" spans="16:17" x14ac:dyDescent="0.3">
      <c r="P549" s="209" t="s">
        <v>591</v>
      </c>
      <c r="Q549"/>
    </row>
    <row r="550" spans="16:17" x14ac:dyDescent="0.3">
      <c r="P550" s="209" t="s">
        <v>592</v>
      </c>
      <c r="Q550"/>
    </row>
    <row r="551" spans="16:17" x14ac:dyDescent="0.3">
      <c r="P551" s="209" t="s">
        <v>593</v>
      </c>
      <c r="Q551"/>
    </row>
    <row r="552" spans="16:17" x14ac:dyDescent="0.3">
      <c r="P552" s="209" t="s">
        <v>594</v>
      </c>
      <c r="Q552"/>
    </row>
    <row r="553" spans="16:17" x14ac:dyDescent="0.3">
      <c r="P553" s="209" t="s">
        <v>595</v>
      </c>
      <c r="Q553"/>
    </row>
    <row r="554" spans="16:17" x14ac:dyDescent="0.3">
      <c r="P554" s="209" t="s">
        <v>596</v>
      </c>
      <c r="Q554"/>
    </row>
    <row r="555" spans="16:17" x14ac:dyDescent="0.3">
      <c r="P555" s="209" t="s">
        <v>597</v>
      </c>
      <c r="Q555"/>
    </row>
    <row r="556" spans="16:17" x14ac:dyDescent="0.3">
      <c r="P556" s="209" t="s">
        <v>598</v>
      </c>
      <c r="Q556"/>
    </row>
    <row r="557" spans="16:17" x14ac:dyDescent="0.3">
      <c r="P557" s="209" t="s">
        <v>599</v>
      </c>
      <c r="Q557"/>
    </row>
    <row r="558" spans="16:17" x14ac:dyDescent="0.3">
      <c r="P558" s="209" t="s">
        <v>600</v>
      </c>
      <c r="Q558"/>
    </row>
    <row r="559" spans="16:17" x14ac:dyDescent="0.3">
      <c r="P559" s="209" t="s">
        <v>601</v>
      </c>
      <c r="Q559"/>
    </row>
    <row r="560" spans="16:17" x14ac:dyDescent="0.3">
      <c r="P560" s="209" t="s">
        <v>602</v>
      </c>
      <c r="Q560"/>
    </row>
    <row r="561" spans="16:17" x14ac:dyDescent="0.3">
      <c r="P561" s="209" t="s">
        <v>603</v>
      </c>
      <c r="Q561"/>
    </row>
    <row r="562" spans="16:17" x14ac:dyDescent="0.3">
      <c r="P562" s="209" t="s">
        <v>604</v>
      </c>
      <c r="Q562"/>
    </row>
    <row r="563" spans="16:17" x14ac:dyDescent="0.3">
      <c r="P563" s="209" t="s">
        <v>605</v>
      </c>
      <c r="Q563"/>
    </row>
    <row r="564" spans="16:17" x14ac:dyDescent="0.3">
      <c r="P564" s="209" t="s">
        <v>606</v>
      </c>
      <c r="Q564"/>
    </row>
    <row r="565" spans="16:17" x14ac:dyDescent="0.3">
      <c r="P565" s="209" t="s">
        <v>607</v>
      </c>
      <c r="Q565"/>
    </row>
    <row r="566" spans="16:17" x14ac:dyDescent="0.3">
      <c r="P566" s="209" t="s">
        <v>608</v>
      </c>
      <c r="Q566"/>
    </row>
    <row r="567" spans="16:17" x14ac:dyDescent="0.3">
      <c r="P567" s="209" t="s">
        <v>609</v>
      </c>
      <c r="Q567"/>
    </row>
    <row r="568" spans="16:17" x14ac:dyDescent="0.3">
      <c r="P568" s="209" t="s">
        <v>610</v>
      </c>
      <c r="Q568"/>
    </row>
    <row r="569" spans="16:17" x14ac:dyDescent="0.3">
      <c r="P569" s="209" t="s">
        <v>611</v>
      </c>
      <c r="Q569"/>
    </row>
    <row r="570" spans="16:17" x14ac:dyDescent="0.3">
      <c r="P570" s="209" t="s">
        <v>612</v>
      </c>
      <c r="Q570"/>
    </row>
    <row r="571" spans="16:17" x14ac:dyDescent="0.3">
      <c r="P571" s="209" t="s">
        <v>613</v>
      </c>
      <c r="Q571"/>
    </row>
    <row r="572" spans="16:17" x14ac:dyDescent="0.3">
      <c r="P572" s="209" t="s">
        <v>614</v>
      </c>
      <c r="Q572"/>
    </row>
    <row r="573" spans="16:17" x14ac:dyDescent="0.3">
      <c r="P573" s="209" t="s">
        <v>615</v>
      </c>
      <c r="Q573"/>
    </row>
    <row r="574" spans="16:17" x14ac:dyDescent="0.3">
      <c r="P574" s="209" t="s">
        <v>616</v>
      </c>
      <c r="Q574"/>
    </row>
    <row r="575" spans="16:17" x14ac:dyDescent="0.3">
      <c r="P575" s="209" t="s">
        <v>617</v>
      </c>
      <c r="Q575"/>
    </row>
    <row r="576" spans="16:17" x14ac:dyDescent="0.3">
      <c r="P576" s="209" t="s">
        <v>618</v>
      </c>
      <c r="Q576"/>
    </row>
    <row r="577" spans="16:17" x14ac:dyDescent="0.3">
      <c r="P577" s="209" t="s">
        <v>619</v>
      </c>
      <c r="Q577"/>
    </row>
    <row r="578" spans="16:17" x14ac:dyDescent="0.3">
      <c r="P578" s="209" t="s">
        <v>620</v>
      </c>
      <c r="Q578"/>
    </row>
    <row r="579" spans="16:17" x14ac:dyDescent="0.3">
      <c r="P579" s="209" t="s">
        <v>621</v>
      </c>
      <c r="Q579"/>
    </row>
    <row r="580" spans="16:17" x14ac:dyDescent="0.3">
      <c r="P580" s="209" t="s">
        <v>622</v>
      </c>
      <c r="Q580"/>
    </row>
    <row r="581" spans="16:17" x14ac:dyDescent="0.3">
      <c r="P581" s="209" t="s">
        <v>623</v>
      </c>
      <c r="Q581"/>
    </row>
    <row r="582" spans="16:17" x14ac:dyDescent="0.3">
      <c r="P582" s="209" t="s">
        <v>624</v>
      </c>
      <c r="Q582"/>
    </row>
    <row r="583" spans="16:17" x14ac:dyDescent="0.3">
      <c r="P583" s="209" t="s">
        <v>625</v>
      </c>
      <c r="Q583"/>
    </row>
    <row r="584" spans="16:17" x14ac:dyDescent="0.3">
      <c r="P584" s="209" t="s">
        <v>626</v>
      </c>
      <c r="Q584"/>
    </row>
    <row r="585" spans="16:17" x14ac:dyDescent="0.3">
      <c r="P585" s="209" t="s">
        <v>627</v>
      </c>
      <c r="Q585"/>
    </row>
    <row r="586" spans="16:17" x14ac:dyDescent="0.3">
      <c r="P586" s="209" t="s">
        <v>628</v>
      </c>
      <c r="Q586"/>
    </row>
    <row r="587" spans="16:17" x14ac:dyDescent="0.3">
      <c r="P587" s="209" t="s">
        <v>629</v>
      </c>
      <c r="Q587"/>
    </row>
    <row r="588" spans="16:17" x14ac:dyDescent="0.3">
      <c r="P588" s="209" t="s">
        <v>630</v>
      </c>
      <c r="Q588"/>
    </row>
    <row r="589" spans="16:17" x14ac:dyDescent="0.3">
      <c r="P589" s="209" t="s">
        <v>631</v>
      </c>
      <c r="Q589"/>
    </row>
    <row r="590" spans="16:17" x14ac:dyDescent="0.3">
      <c r="P590" s="209" t="s">
        <v>632</v>
      </c>
      <c r="Q590"/>
    </row>
    <row r="591" spans="16:17" x14ac:dyDescent="0.3">
      <c r="P591" s="209" t="s">
        <v>633</v>
      </c>
      <c r="Q591"/>
    </row>
    <row r="592" spans="16:17" x14ac:dyDescent="0.3">
      <c r="P592" s="209" t="s">
        <v>634</v>
      </c>
      <c r="Q592"/>
    </row>
    <row r="593" spans="16:17" x14ac:dyDescent="0.3">
      <c r="P593" s="209" t="s">
        <v>635</v>
      </c>
      <c r="Q593"/>
    </row>
    <row r="594" spans="16:17" x14ac:dyDescent="0.3">
      <c r="P594" s="209" t="s">
        <v>636</v>
      </c>
      <c r="Q594"/>
    </row>
    <row r="595" spans="16:17" x14ac:dyDescent="0.3">
      <c r="P595" s="209" t="s">
        <v>637</v>
      </c>
      <c r="Q595"/>
    </row>
    <row r="596" spans="16:17" x14ac:dyDescent="0.3">
      <c r="P596" s="209" t="s">
        <v>638</v>
      </c>
      <c r="Q596"/>
    </row>
    <row r="597" spans="16:17" x14ac:dyDescent="0.3">
      <c r="P597" s="209" t="s">
        <v>639</v>
      </c>
      <c r="Q597"/>
    </row>
    <row r="598" spans="16:17" x14ac:dyDescent="0.3">
      <c r="P598" s="209" t="s">
        <v>640</v>
      </c>
      <c r="Q598"/>
    </row>
    <row r="599" spans="16:17" x14ac:dyDescent="0.3">
      <c r="P599" s="209" t="s">
        <v>641</v>
      </c>
      <c r="Q599"/>
    </row>
    <row r="600" spans="16:17" x14ac:dyDescent="0.3">
      <c r="P600" s="209" t="s">
        <v>642</v>
      </c>
      <c r="Q600"/>
    </row>
    <row r="601" spans="16:17" x14ac:dyDescent="0.3">
      <c r="P601" s="209" t="s">
        <v>643</v>
      </c>
      <c r="Q601"/>
    </row>
    <row r="602" spans="16:17" x14ac:dyDescent="0.3">
      <c r="P602" s="209" t="s">
        <v>644</v>
      </c>
      <c r="Q602"/>
    </row>
    <row r="603" spans="16:17" x14ac:dyDescent="0.3">
      <c r="P603" s="209" t="s">
        <v>645</v>
      </c>
      <c r="Q603"/>
    </row>
    <row r="604" spans="16:17" x14ac:dyDescent="0.3">
      <c r="P604" s="209" t="s">
        <v>646</v>
      </c>
      <c r="Q604"/>
    </row>
    <row r="605" spans="16:17" x14ac:dyDescent="0.3">
      <c r="P605" s="209" t="s">
        <v>647</v>
      </c>
      <c r="Q605"/>
    </row>
    <row r="606" spans="16:17" x14ac:dyDescent="0.3">
      <c r="P606" s="209" t="s">
        <v>648</v>
      </c>
      <c r="Q606"/>
    </row>
    <row r="607" spans="16:17" x14ac:dyDescent="0.3">
      <c r="P607" s="209" t="s">
        <v>649</v>
      </c>
      <c r="Q607"/>
    </row>
    <row r="608" spans="16:17" x14ac:dyDescent="0.3">
      <c r="P608" s="209" t="s">
        <v>650</v>
      </c>
      <c r="Q608"/>
    </row>
    <row r="609" spans="16:17" x14ac:dyDescent="0.3">
      <c r="P609" s="209" t="s">
        <v>651</v>
      </c>
      <c r="Q609"/>
    </row>
    <row r="610" spans="16:17" x14ac:dyDescent="0.3">
      <c r="P610" s="209" t="s">
        <v>652</v>
      </c>
      <c r="Q610"/>
    </row>
    <row r="611" spans="16:17" x14ac:dyDescent="0.3">
      <c r="P611" s="209" t="s">
        <v>653</v>
      </c>
      <c r="Q611"/>
    </row>
    <row r="612" spans="16:17" x14ac:dyDescent="0.3">
      <c r="P612" s="209" t="s">
        <v>654</v>
      </c>
      <c r="Q612"/>
    </row>
    <row r="613" spans="16:17" x14ac:dyDescent="0.3">
      <c r="P613" s="209" t="s">
        <v>655</v>
      </c>
      <c r="Q613"/>
    </row>
    <row r="614" spans="16:17" x14ac:dyDescent="0.3">
      <c r="P614" s="209" t="s">
        <v>656</v>
      </c>
      <c r="Q614"/>
    </row>
    <row r="615" spans="16:17" x14ac:dyDescent="0.3">
      <c r="P615" s="209" t="s">
        <v>657</v>
      </c>
      <c r="Q615"/>
    </row>
    <row r="616" spans="16:17" x14ac:dyDescent="0.3">
      <c r="P616" s="209" t="s">
        <v>658</v>
      </c>
      <c r="Q616"/>
    </row>
    <row r="617" spans="16:17" x14ac:dyDescent="0.3">
      <c r="P617" s="209" t="s">
        <v>659</v>
      </c>
      <c r="Q617"/>
    </row>
    <row r="618" spans="16:17" x14ac:dyDescent="0.3">
      <c r="P618" s="209" t="s">
        <v>660</v>
      </c>
      <c r="Q618"/>
    </row>
    <row r="619" spans="16:17" x14ac:dyDescent="0.3">
      <c r="P619" s="209" t="s">
        <v>661</v>
      </c>
      <c r="Q619"/>
    </row>
    <row r="620" spans="16:17" x14ac:dyDescent="0.3">
      <c r="P620" s="209" t="s">
        <v>662</v>
      </c>
      <c r="Q620"/>
    </row>
    <row r="621" spans="16:17" x14ac:dyDescent="0.3">
      <c r="P621" s="209" t="s">
        <v>663</v>
      </c>
      <c r="Q621"/>
    </row>
    <row r="622" spans="16:17" x14ac:dyDescent="0.3">
      <c r="P622" s="209" t="s">
        <v>664</v>
      </c>
      <c r="Q622"/>
    </row>
    <row r="623" spans="16:17" x14ac:dyDescent="0.3">
      <c r="P623" s="209" t="s">
        <v>665</v>
      </c>
      <c r="Q623"/>
    </row>
    <row r="624" spans="16:17" x14ac:dyDescent="0.3">
      <c r="P624" s="209" t="s">
        <v>666</v>
      </c>
      <c r="Q624"/>
    </row>
    <row r="625" spans="16:17" x14ac:dyDescent="0.3">
      <c r="P625" s="209" t="s">
        <v>667</v>
      </c>
      <c r="Q625"/>
    </row>
    <row r="626" spans="16:17" x14ac:dyDescent="0.3">
      <c r="P626" s="209" t="s">
        <v>668</v>
      </c>
      <c r="Q626"/>
    </row>
    <row r="627" spans="16:17" x14ac:dyDescent="0.3">
      <c r="P627" s="209" t="s">
        <v>669</v>
      </c>
      <c r="Q627"/>
    </row>
    <row r="628" spans="16:17" x14ac:dyDescent="0.3">
      <c r="P628" s="209" t="s">
        <v>670</v>
      </c>
      <c r="Q628"/>
    </row>
    <row r="629" spans="16:17" x14ac:dyDescent="0.3">
      <c r="P629" s="209" t="s">
        <v>671</v>
      </c>
      <c r="Q629"/>
    </row>
    <row r="630" spans="16:17" x14ac:dyDescent="0.3">
      <c r="P630" s="209" t="s">
        <v>672</v>
      </c>
      <c r="Q630"/>
    </row>
    <row r="631" spans="16:17" x14ac:dyDescent="0.3">
      <c r="P631" s="209" t="s">
        <v>673</v>
      </c>
      <c r="Q631"/>
    </row>
    <row r="632" spans="16:17" x14ac:dyDescent="0.3">
      <c r="P632" s="209" t="s">
        <v>674</v>
      </c>
      <c r="Q632"/>
    </row>
    <row r="633" spans="16:17" x14ac:dyDescent="0.3">
      <c r="P633" s="209" t="s">
        <v>675</v>
      </c>
      <c r="Q633"/>
    </row>
    <row r="634" spans="16:17" x14ac:dyDescent="0.3">
      <c r="P634" s="209" t="s">
        <v>676</v>
      </c>
      <c r="Q634"/>
    </row>
    <row r="635" spans="16:17" x14ac:dyDescent="0.3">
      <c r="P635" s="209" t="s">
        <v>677</v>
      </c>
      <c r="Q635"/>
    </row>
    <row r="636" spans="16:17" x14ac:dyDescent="0.3">
      <c r="P636" s="209" t="s">
        <v>678</v>
      </c>
      <c r="Q636"/>
    </row>
    <row r="637" spans="16:17" x14ac:dyDescent="0.3">
      <c r="P637" s="209" t="s">
        <v>679</v>
      </c>
      <c r="Q637"/>
    </row>
    <row r="638" spans="16:17" x14ac:dyDescent="0.3">
      <c r="P638" s="209" t="s">
        <v>680</v>
      </c>
      <c r="Q638"/>
    </row>
    <row r="639" spans="16:17" x14ac:dyDescent="0.3">
      <c r="P639" s="209" t="s">
        <v>681</v>
      </c>
      <c r="Q639"/>
    </row>
    <row r="640" spans="16:17" x14ac:dyDescent="0.3">
      <c r="P640" s="209" t="s">
        <v>682</v>
      </c>
      <c r="Q640"/>
    </row>
    <row r="641" spans="16:17" x14ac:dyDescent="0.3">
      <c r="P641" s="209" t="s">
        <v>683</v>
      </c>
      <c r="Q641"/>
    </row>
    <row r="642" spans="16:17" x14ac:dyDescent="0.3">
      <c r="P642" s="209" t="s">
        <v>684</v>
      </c>
      <c r="Q642"/>
    </row>
    <row r="643" spans="16:17" x14ac:dyDescent="0.3">
      <c r="P643" s="209" t="s">
        <v>685</v>
      </c>
      <c r="Q643"/>
    </row>
    <row r="644" spans="16:17" x14ac:dyDescent="0.3">
      <c r="P644" s="209" t="s">
        <v>686</v>
      </c>
      <c r="Q644"/>
    </row>
    <row r="645" spans="16:17" x14ac:dyDescent="0.3">
      <c r="P645" s="209" t="s">
        <v>687</v>
      </c>
      <c r="Q645"/>
    </row>
    <row r="646" spans="16:17" x14ac:dyDescent="0.3">
      <c r="P646" s="209" t="s">
        <v>688</v>
      </c>
      <c r="Q646"/>
    </row>
    <row r="647" spans="16:17" x14ac:dyDescent="0.3">
      <c r="P647" s="209" t="s">
        <v>689</v>
      </c>
      <c r="Q647"/>
    </row>
    <row r="648" spans="16:17" x14ac:dyDescent="0.3">
      <c r="P648" s="209" t="s">
        <v>690</v>
      </c>
      <c r="Q648"/>
    </row>
    <row r="649" spans="16:17" x14ac:dyDescent="0.3">
      <c r="P649" s="209" t="s">
        <v>691</v>
      </c>
      <c r="Q649"/>
    </row>
    <row r="650" spans="16:17" x14ac:dyDescent="0.3">
      <c r="P650" s="209" t="s">
        <v>692</v>
      </c>
      <c r="Q650"/>
    </row>
    <row r="651" spans="16:17" x14ac:dyDescent="0.3">
      <c r="P651" s="209" t="s">
        <v>693</v>
      </c>
      <c r="Q651"/>
    </row>
    <row r="652" spans="16:17" x14ac:dyDescent="0.3">
      <c r="P652" s="209" t="s">
        <v>694</v>
      </c>
      <c r="Q652"/>
    </row>
    <row r="653" spans="16:17" x14ac:dyDescent="0.3">
      <c r="P653" s="209" t="s">
        <v>695</v>
      </c>
      <c r="Q653"/>
    </row>
    <row r="654" spans="16:17" x14ac:dyDescent="0.3">
      <c r="P654" s="209" t="s">
        <v>696</v>
      </c>
      <c r="Q654"/>
    </row>
    <row r="655" spans="16:17" x14ac:dyDescent="0.3">
      <c r="P655" s="209" t="s">
        <v>697</v>
      </c>
      <c r="Q655"/>
    </row>
    <row r="656" spans="16:17" x14ac:dyDescent="0.3">
      <c r="P656" s="209" t="s">
        <v>698</v>
      </c>
      <c r="Q656"/>
    </row>
    <row r="657" spans="16:17" x14ac:dyDescent="0.3">
      <c r="P657" s="209" t="s">
        <v>699</v>
      </c>
      <c r="Q657"/>
    </row>
    <row r="658" spans="16:17" x14ac:dyDescent="0.3">
      <c r="P658" s="209" t="s">
        <v>700</v>
      </c>
      <c r="Q658"/>
    </row>
    <row r="659" spans="16:17" x14ac:dyDescent="0.3">
      <c r="P659" s="209" t="s">
        <v>701</v>
      </c>
      <c r="Q659"/>
    </row>
    <row r="660" spans="16:17" x14ac:dyDescent="0.3">
      <c r="P660" s="209" t="s">
        <v>702</v>
      </c>
      <c r="Q660"/>
    </row>
    <row r="661" spans="16:17" x14ac:dyDescent="0.3">
      <c r="P661" s="209" t="s">
        <v>703</v>
      </c>
      <c r="Q661"/>
    </row>
    <row r="662" spans="16:17" x14ac:dyDescent="0.3">
      <c r="P662" s="209" t="s">
        <v>704</v>
      </c>
      <c r="Q662"/>
    </row>
    <row r="663" spans="16:17" x14ac:dyDescent="0.3">
      <c r="P663" s="209" t="s">
        <v>705</v>
      </c>
      <c r="Q663"/>
    </row>
    <row r="664" spans="16:17" x14ac:dyDescent="0.3">
      <c r="P664" s="209" t="s">
        <v>706</v>
      </c>
      <c r="Q664"/>
    </row>
    <row r="665" spans="16:17" x14ac:dyDescent="0.3">
      <c r="P665" s="209" t="s">
        <v>707</v>
      </c>
      <c r="Q665"/>
    </row>
    <row r="666" spans="16:17" x14ac:dyDescent="0.3">
      <c r="P666" s="209" t="s">
        <v>708</v>
      </c>
      <c r="Q666"/>
    </row>
    <row r="667" spans="16:17" x14ac:dyDescent="0.3">
      <c r="P667" s="209" t="s">
        <v>709</v>
      </c>
      <c r="Q667"/>
    </row>
    <row r="668" spans="16:17" x14ac:dyDescent="0.3">
      <c r="P668" s="209" t="s">
        <v>710</v>
      </c>
      <c r="Q668"/>
    </row>
    <row r="669" spans="16:17" x14ac:dyDescent="0.3">
      <c r="P669" s="209" t="s">
        <v>711</v>
      </c>
      <c r="Q669"/>
    </row>
    <row r="670" spans="16:17" x14ac:dyDescent="0.3">
      <c r="P670" s="209" t="s">
        <v>712</v>
      </c>
      <c r="Q670"/>
    </row>
    <row r="671" spans="16:17" x14ac:dyDescent="0.3">
      <c r="P671" s="209" t="s">
        <v>713</v>
      </c>
      <c r="Q671"/>
    </row>
    <row r="672" spans="16:17" x14ac:dyDescent="0.3">
      <c r="P672" s="209" t="s">
        <v>714</v>
      </c>
      <c r="Q672"/>
    </row>
    <row r="673" spans="16:17" x14ac:dyDescent="0.3">
      <c r="P673" s="209" t="s">
        <v>715</v>
      </c>
      <c r="Q673"/>
    </row>
    <row r="674" spans="16:17" x14ac:dyDescent="0.3">
      <c r="P674" s="209" t="s">
        <v>716</v>
      </c>
      <c r="Q674"/>
    </row>
    <row r="675" spans="16:17" x14ac:dyDescent="0.3">
      <c r="P675" s="209" t="s">
        <v>717</v>
      </c>
      <c r="Q675"/>
    </row>
    <row r="676" spans="16:17" x14ac:dyDescent="0.3">
      <c r="P676" s="209" t="s">
        <v>718</v>
      </c>
      <c r="Q676"/>
    </row>
    <row r="677" spans="16:17" x14ac:dyDescent="0.3">
      <c r="P677" s="209" t="s">
        <v>719</v>
      </c>
      <c r="Q677"/>
    </row>
    <row r="678" spans="16:17" x14ac:dyDescent="0.3">
      <c r="P678" s="209" t="s">
        <v>720</v>
      </c>
      <c r="Q678"/>
    </row>
    <row r="679" spans="16:17" x14ac:dyDescent="0.3">
      <c r="P679" s="209" t="s">
        <v>721</v>
      </c>
      <c r="Q679"/>
    </row>
    <row r="680" spans="16:17" x14ac:dyDescent="0.3">
      <c r="P680" s="209" t="s">
        <v>722</v>
      </c>
      <c r="Q680"/>
    </row>
    <row r="681" spans="16:17" x14ac:dyDescent="0.3">
      <c r="P681" s="209" t="s">
        <v>723</v>
      </c>
      <c r="Q681"/>
    </row>
    <row r="682" spans="16:17" x14ac:dyDescent="0.3">
      <c r="P682" s="209" t="s">
        <v>724</v>
      </c>
      <c r="Q682"/>
    </row>
    <row r="683" spans="16:17" x14ac:dyDescent="0.3">
      <c r="P683" s="209" t="s">
        <v>725</v>
      </c>
      <c r="Q683"/>
    </row>
    <row r="684" spans="16:17" x14ac:dyDescent="0.3">
      <c r="P684" s="209" t="s">
        <v>726</v>
      </c>
      <c r="Q684"/>
    </row>
    <row r="685" spans="16:17" x14ac:dyDescent="0.3">
      <c r="P685" s="209" t="s">
        <v>727</v>
      </c>
      <c r="Q685"/>
    </row>
    <row r="686" spans="16:17" x14ac:dyDescent="0.3">
      <c r="P686" s="209" t="s">
        <v>728</v>
      </c>
      <c r="Q686"/>
    </row>
    <row r="687" spans="16:17" x14ac:dyDescent="0.3">
      <c r="P687" s="209" t="s">
        <v>729</v>
      </c>
      <c r="Q687"/>
    </row>
    <row r="688" spans="16:17" x14ac:dyDescent="0.3">
      <c r="P688" s="209" t="s">
        <v>730</v>
      </c>
      <c r="Q688"/>
    </row>
    <row r="689" spans="16:17" x14ac:dyDescent="0.3">
      <c r="P689" s="209" t="s">
        <v>731</v>
      </c>
      <c r="Q689"/>
    </row>
    <row r="690" spans="16:17" x14ac:dyDescent="0.3">
      <c r="P690" s="209" t="s">
        <v>732</v>
      </c>
      <c r="Q690"/>
    </row>
    <row r="691" spans="16:17" x14ac:dyDescent="0.3">
      <c r="P691" s="209" t="s">
        <v>733</v>
      </c>
      <c r="Q691"/>
    </row>
    <row r="692" spans="16:17" x14ac:dyDescent="0.3">
      <c r="P692" s="209" t="s">
        <v>734</v>
      </c>
      <c r="Q692"/>
    </row>
    <row r="693" spans="16:17" x14ac:dyDescent="0.3">
      <c r="P693" s="209" t="s">
        <v>735</v>
      </c>
      <c r="Q693"/>
    </row>
    <row r="694" spans="16:17" x14ac:dyDescent="0.3">
      <c r="P694" s="209" t="s">
        <v>736</v>
      </c>
      <c r="Q694"/>
    </row>
    <row r="695" spans="16:17" x14ac:dyDescent="0.3">
      <c r="P695" s="209" t="s">
        <v>737</v>
      </c>
      <c r="Q695"/>
    </row>
    <row r="696" spans="16:17" x14ac:dyDescent="0.3">
      <c r="P696" s="209" t="s">
        <v>738</v>
      </c>
      <c r="Q696"/>
    </row>
    <row r="697" spans="16:17" x14ac:dyDescent="0.3">
      <c r="P697" s="209" t="s">
        <v>739</v>
      </c>
      <c r="Q697"/>
    </row>
    <row r="698" spans="16:17" x14ac:dyDescent="0.3">
      <c r="P698" s="209" t="s">
        <v>740</v>
      </c>
      <c r="Q698"/>
    </row>
    <row r="699" spans="16:17" x14ac:dyDescent="0.3">
      <c r="P699" s="209" t="s">
        <v>741</v>
      </c>
      <c r="Q699"/>
    </row>
    <row r="700" spans="16:17" x14ac:dyDescent="0.3">
      <c r="P700" s="209" t="s">
        <v>742</v>
      </c>
      <c r="Q700"/>
    </row>
    <row r="701" spans="16:17" x14ac:dyDescent="0.3">
      <c r="P701" s="209" t="s">
        <v>743</v>
      </c>
      <c r="Q701"/>
    </row>
    <row r="702" spans="16:17" x14ac:dyDescent="0.3">
      <c r="P702" s="209" t="s">
        <v>744</v>
      </c>
      <c r="Q702"/>
    </row>
    <row r="703" spans="16:17" x14ac:dyDescent="0.3">
      <c r="P703" s="209" t="s">
        <v>745</v>
      </c>
      <c r="Q703"/>
    </row>
    <row r="704" spans="16:17" x14ac:dyDescent="0.3">
      <c r="P704" s="209" t="s">
        <v>746</v>
      </c>
      <c r="Q704"/>
    </row>
    <row r="705" spans="16:17" x14ac:dyDescent="0.3">
      <c r="P705" s="209" t="s">
        <v>747</v>
      </c>
      <c r="Q705"/>
    </row>
    <row r="706" spans="16:17" x14ac:dyDescent="0.3">
      <c r="P706" s="209" t="s">
        <v>748</v>
      </c>
      <c r="Q706"/>
    </row>
    <row r="707" spans="16:17" x14ac:dyDescent="0.3">
      <c r="P707" s="209" t="s">
        <v>749</v>
      </c>
      <c r="Q707"/>
    </row>
    <row r="708" spans="16:17" x14ac:dyDescent="0.3">
      <c r="P708" s="209" t="s">
        <v>750</v>
      </c>
      <c r="Q708"/>
    </row>
    <row r="709" spans="16:17" x14ac:dyDescent="0.3">
      <c r="P709" s="209" t="s">
        <v>751</v>
      </c>
      <c r="Q709"/>
    </row>
    <row r="710" spans="16:17" x14ac:dyDescent="0.3">
      <c r="P710" s="209" t="s">
        <v>752</v>
      </c>
      <c r="Q710"/>
    </row>
    <row r="711" spans="16:17" x14ac:dyDescent="0.3">
      <c r="P711" s="209" t="s">
        <v>753</v>
      </c>
      <c r="Q711"/>
    </row>
    <row r="712" spans="16:17" x14ac:dyDescent="0.3">
      <c r="P712" s="209" t="s">
        <v>754</v>
      </c>
      <c r="Q712"/>
    </row>
    <row r="713" spans="16:17" x14ac:dyDescent="0.3">
      <c r="P713" s="209" t="s">
        <v>755</v>
      </c>
      <c r="Q713"/>
    </row>
    <row r="714" spans="16:17" x14ac:dyDescent="0.3">
      <c r="P714" s="209" t="s">
        <v>756</v>
      </c>
      <c r="Q714"/>
    </row>
    <row r="715" spans="16:17" x14ac:dyDescent="0.3">
      <c r="P715" s="209" t="s">
        <v>757</v>
      </c>
      <c r="Q715"/>
    </row>
    <row r="716" spans="16:17" x14ac:dyDescent="0.3">
      <c r="P716" s="209" t="s">
        <v>758</v>
      </c>
      <c r="Q716"/>
    </row>
    <row r="717" spans="16:17" x14ac:dyDescent="0.3">
      <c r="P717" s="209" t="s">
        <v>759</v>
      </c>
      <c r="Q717"/>
    </row>
    <row r="718" spans="16:17" x14ac:dyDescent="0.3">
      <c r="P718" s="209" t="s">
        <v>760</v>
      </c>
      <c r="Q718"/>
    </row>
    <row r="719" spans="16:17" x14ac:dyDescent="0.3">
      <c r="P719" s="209" t="s">
        <v>761</v>
      </c>
      <c r="Q719"/>
    </row>
    <row r="720" spans="16:17" x14ac:dyDescent="0.3">
      <c r="P720" s="209" t="s">
        <v>762</v>
      </c>
      <c r="Q720"/>
    </row>
    <row r="721" spans="16:17" x14ac:dyDescent="0.3">
      <c r="P721" s="209" t="s">
        <v>763</v>
      </c>
      <c r="Q721"/>
    </row>
    <row r="722" spans="16:17" x14ac:dyDescent="0.3">
      <c r="P722" s="209" t="s">
        <v>764</v>
      </c>
      <c r="Q722"/>
    </row>
    <row r="723" spans="16:17" x14ac:dyDescent="0.3">
      <c r="P723" s="209" t="s">
        <v>765</v>
      </c>
      <c r="Q723"/>
    </row>
    <row r="724" spans="16:17" x14ac:dyDescent="0.3">
      <c r="P724" s="209" t="s">
        <v>766</v>
      </c>
      <c r="Q724"/>
    </row>
    <row r="725" spans="16:17" x14ac:dyDescent="0.3">
      <c r="P725" s="209" t="s">
        <v>767</v>
      </c>
      <c r="Q725"/>
    </row>
    <row r="726" spans="16:17" x14ac:dyDescent="0.3">
      <c r="P726" s="209" t="s">
        <v>768</v>
      </c>
      <c r="Q726"/>
    </row>
    <row r="727" spans="16:17" x14ac:dyDescent="0.3">
      <c r="P727" s="209" t="s">
        <v>769</v>
      </c>
      <c r="Q727"/>
    </row>
    <row r="728" spans="16:17" x14ac:dyDescent="0.3">
      <c r="P728" s="209" t="s">
        <v>770</v>
      </c>
      <c r="Q728"/>
    </row>
    <row r="729" spans="16:17" x14ac:dyDescent="0.3">
      <c r="P729" s="209" t="s">
        <v>771</v>
      </c>
      <c r="Q729"/>
    </row>
    <row r="730" spans="16:17" x14ac:dyDescent="0.3">
      <c r="P730" s="209" t="s">
        <v>772</v>
      </c>
      <c r="Q730"/>
    </row>
    <row r="731" spans="16:17" x14ac:dyDescent="0.3">
      <c r="P731" s="209" t="s">
        <v>773</v>
      </c>
      <c r="Q731"/>
    </row>
    <row r="732" spans="16:17" x14ac:dyDescent="0.3">
      <c r="P732" s="209" t="s">
        <v>774</v>
      </c>
      <c r="Q732"/>
    </row>
    <row r="733" spans="16:17" x14ac:dyDescent="0.3">
      <c r="P733" s="209" t="s">
        <v>775</v>
      </c>
      <c r="Q733"/>
    </row>
    <row r="734" spans="16:17" x14ac:dyDescent="0.3">
      <c r="P734" s="209" t="s">
        <v>776</v>
      </c>
      <c r="Q734"/>
    </row>
    <row r="735" spans="16:17" x14ac:dyDescent="0.3">
      <c r="P735" s="209" t="s">
        <v>777</v>
      </c>
      <c r="Q735"/>
    </row>
    <row r="736" spans="16:17" x14ac:dyDescent="0.3">
      <c r="P736" s="209" t="s">
        <v>778</v>
      </c>
      <c r="Q736"/>
    </row>
    <row r="737" spans="16:17" x14ac:dyDescent="0.3">
      <c r="P737" s="209" t="s">
        <v>779</v>
      </c>
      <c r="Q737"/>
    </row>
    <row r="738" spans="16:17" x14ac:dyDescent="0.3">
      <c r="P738" s="209" t="s">
        <v>780</v>
      </c>
      <c r="Q738"/>
    </row>
    <row r="739" spans="16:17" x14ac:dyDescent="0.3">
      <c r="P739" s="209" t="s">
        <v>781</v>
      </c>
      <c r="Q739"/>
    </row>
    <row r="740" spans="16:17" x14ac:dyDescent="0.3">
      <c r="P740" s="209" t="s">
        <v>782</v>
      </c>
      <c r="Q740"/>
    </row>
    <row r="741" spans="16:17" x14ac:dyDescent="0.3">
      <c r="P741" s="209" t="s">
        <v>783</v>
      </c>
      <c r="Q741"/>
    </row>
    <row r="742" spans="16:17" x14ac:dyDescent="0.3">
      <c r="P742" s="209" t="s">
        <v>784</v>
      </c>
      <c r="Q742"/>
    </row>
    <row r="743" spans="16:17" x14ac:dyDescent="0.3">
      <c r="P743" s="209" t="s">
        <v>785</v>
      </c>
      <c r="Q743"/>
    </row>
    <row r="744" spans="16:17" x14ac:dyDescent="0.3">
      <c r="P744" s="209" t="s">
        <v>786</v>
      </c>
      <c r="Q744"/>
    </row>
    <row r="745" spans="16:17" x14ac:dyDescent="0.3">
      <c r="P745" s="209" t="s">
        <v>787</v>
      </c>
      <c r="Q745"/>
    </row>
    <row r="746" spans="16:17" x14ac:dyDescent="0.3">
      <c r="P746" s="209" t="s">
        <v>788</v>
      </c>
      <c r="Q746"/>
    </row>
    <row r="747" spans="16:17" x14ac:dyDescent="0.3">
      <c r="P747" s="209" t="s">
        <v>789</v>
      </c>
      <c r="Q747"/>
    </row>
    <row r="748" spans="16:17" x14ac:dyDescent="0.3">
      <c r="P748" s="209" t="s">
        <v>790</v>
      </c>
      <c r="Q748"/>
    </row>
    <row r="749" spans="16:17" x14ac:dyDescent="0.3">
      <c r="P749" s="209" t="s">
        <v>791</v>
      </c>
      <c r="Q749"/>
    </row>
    <row r="750" spans="16:17" x14ac:dyDescent="0.3">
      <c r="P750" s="209" t="s">
        <v>792</v>
      </c>
      <c r="Q750"/>
    </row>
    <row r="751" spans="16:17" x14ac:dyDescent="0.3">
      <c r="P751" s="209" t="s">
        <v>793</v>
      </c>
      <c r="Q751"/>
    </row>
    <row r="752" spans="16:17" x14ac:dyDescent="0.3">
      <c r="P752" s="209" t="s">
        <v>794</v>
      </c>
      <c r="Q752"/>
    </row>
    <row r="753" spans="16:17" x14ac:dyDescent="0.3">
      <c r="P753" s="209" t="s">
        <v>795</v>
      </c>
      <c r="Q753"/>
    </row>
    <row r="754" spans="16:17" x14ac:dyDescent="0.3">
      <c r="P754" s="209" t="s">
        <v>796</v>
      </c>
      <c r="Q754"/>
    </row>
    <row r="755" spans="16:17" x14ac:dyDescent="0.3">
      <c r="P755" s="209" t="s">
        <v>797</v>
      </c>
      <c r="Q755"/>
    </row>
    <row r="756" spans="16:17" x14ac:dyDescent="0.3">
      <c r="P756" s="209" t="s">
        <v>798</v>
      </c>
      <c r="Q756"/>
    </row>
    <row r="757" spans="16:17" x14ac:dyDescent="0.3">
      <c r="P757" s="209" t="s">
        <v>799</v>
      </c>
      <c r="Q757"/>
    </row>
    <row r="758" spans="16:17" x14ac:dyDescent="0.3">
      <c r="P758" s="209" t="s">
        <v>800</v>
      </c>
      <c r="Q758"/>
    </row>
    <row r="759" spans="16:17" x14ac:dyDescent="0.3">
      <c r="P759" s="209" t="s">
        <v>801</v>
      </c>
      <c r="Q759"/>
    </row>
    <row r="760" spans="16:17" x14ac:dyDescent="0.3">
      <c r="P760" s="209" t="s">
        <v>802</v>
      </c>
      <c r="Q760"/>
    </row>
    <row r="761" spans="16:17" x14ac:dyDescent="0.3">
      <c r="P761" s="209" t="s">
        <v>803</v>
      </c>
      <c r="Q761"/>
    </row>
    <row r="762" spans="16:17" x14ac:dyDescent="0.3">
      <c r="P762" s="209" t="s">
        <v>804</v>
      </c>
      <c r="Q762"/>
    </row>
    <row r="763" spans="16:17" x14ac:dyDescent="0.3">
      <c r="P763" s="209" t="s">
        <v>805</v>
      </c>
      <c r="Q763"/>
    </row>
    <row r="764" spans="16:17" x14ac:dyDescent="0.3">
      <c r="P764" s="209" t="s">
        <v>806</v>
      </c>
      <c r="Q764"/>
    </row>
    <row r="765" spans="16:17" x14ac:dyDescent="0.3">
      <c r="P765" s="209" t="s">
        <v>807</v>
      </c>
      <c r="Q765"/>
    </row>
    <row r="766" spans="16:17" x14ac:dyDescent="0.3">
      <c r="P766" s="209" t="s">
        <v>808</v>
      </c>
      <c r="Q766"/>
    </row>
    <row r="767" spans="16:17" x14ac:dyDescent="0.3">
      <c r="P767" s="209" t="s">
        <v>809</v>
      </c>
      <c r="Q767"/>
    </row>
    <row r="768" spans="16:17" x14ac:dyDescent="0.3">
      <c r="P768" s="209" t="s">
        <v>810</v>
      </c>
      <c r="Q768"/>
    </row>
    <row r="769" spans="16:17" x14ac:dyDescent="0.3">
      <c r="P769" s="209" t="s">
        <v>811</v>
      </c>
      <c r="Q769"/>
    </row>
    <row r="770" spans="16:17" x14ac:dyDescent="0.3">
      <c r="P770" s="209" t="s">
        <v>812</v>
      </c>
      <c r="Q770"/>
    </row>
    <row r="771" spans="16:17" x14ac:dyDescent="0.3">
      <c r="P771" s="209" t="s">
        <v>813</v>
      </c>
      <c r="Q771"/>
    </row>
    <row r="772" spans="16:17" x14ac:dyDescent="0.3">
      <c r="P772" s="209" t="s">
        <v>814</v>
      </c>
      <c r="Q772"/>
    </row>
    <row r="773" spans="16:17" x14ac:dyDescent="0.3">
      <c r="P773" s="209" t="s">
        <v>815</v>
      </c>
      <c r="Q773"/>
    </row>
    <row r="774" spans="16:17" x14ac:dyDescent="0.3">
      <c r="P774" s="209" t="s">
        <v>816</v>
      </c>
      <c r="Q774"/>
    </row>
    <row r="775" spans="16:17" x14ac:dyDescent="0.3">
      <c r="P775" s="209" t="s">
        <v>817</v>
      </c>
      <c r="Q775"/>
    </row>
    <row r="776" spans="16:17" x14ac:dyDescent="0.3">
      <c r="P776" s="209" t="s">
        <v>818</v>
      </c>
      <c r="Q776"/>
    </row>
    <row r="777" spans="16:17" x14ac:dyDescent="0.3">
      <c r="P777" s="209" t="s">
        <v>819</v>
      </c>
      <c r="Q777"/>
    </row>
    <row r="778" spans="16:17" x14ac:dyDescent="0.3">
      <c r="P778" s="209" t="s">
        <v>820</v>
      </c>
      <c r="Q778"/>
    </row>
    <row r="779" spans="16:17" x14ac:dyDescent="0.3">
      <c r="P779" s="209" t="s">
        <v>821</v>
      </c>
      <c r="Q779"/>
    </row>
    <row r="780" spans="16:17" x14ac:dyDescent="0.3">
      <c r="P780" s="209" t="s">
        <v>822</v>
      </c>
      <c r="Q780"/>
    </row>
    <row r="781" spans="16:17" x14ac:dyDescent="0.3">
      <c r="P781" s="209" t="s">
        <v>823</v>
      </c>
      <c r="Q781"/>
    </row>
    <row r="782" spans="16:17" x14ac:dyDescent="0.3">
      <c r="P782" s="209" t="s">
        <v>824</v>
      </c>
      <c r="Q782"/>
    </row>
    <row r="783" spans="16:17" x14ac:dyDescent="0.3">
      <c r="P783" s="209" t="s">
        <v>825</v>
      </c>
      <c r="Q783"/>
    </row>
    <row r="784" spans="16:17" x14ac:dyDescent="0.3">
      <c r="P784" s="209" t="s">
        <v>826</v>
      </c>
      <c r="Q784"/>
    </row>
    <row r="785" spans="16:17" x14ac:dyDescent="0.3">
      <c r="P785" s="209" t="s">
        <v>827</v>
      </c>
      <c r="Q785"/>
    </row>
    <row r="786" spans="16:17" x14ac:dyDescent="0.3">
      <c r="P786" s="209" t="s">
        <v>828</v>
      </c>
      <c r="Q786"/>
    </row>
    <row r="787" spans="16:17" x14ac:dyDescent="0.3">
      <c r="P787" s="209" t="s">
        <v>829</v>
      </c>
      <c r="Q787"/>
    </row>
    <row r="788" spans="16:17" x14ac:dyDescent="0.3">
      <c r="P788" s="209" t="s">
        <v>830</v>
      </c>
      <c r="Q788"/>
    </row>
    <row r="789" spans="16:17" x14ac:dyDescent="0.3">
      <c r="P789" s="209" t="s">
        <v>831</v>
      </c>
      <c r="Q789"/>
    </row>
    <row r="790" spans="16:17" x14ac:dyDescent="0.3">
      <c r="P790" s="209" t="s">
        <v>832</v>
      </c>
      <c r="Q790"/>
    </row>
    <row r="791" spans="16:17" x14ac:dyDescent="0.3">
      <c r="P791" s="209" t="s">
        <v>833</v>
      </c>
      <c r="Q791"/>
    </row>
    <row r="792" spans="16:17" x14ac:dyDescent="0.3">
      <c r="P792" s="209" t="s">
        <v>834</v>
      </c>
      <c r="Q792"/>
    </row>
    <row r="793" spans="16:17" x14ac:dyDescent="0.3">
      <c r="P793" s="209" t="s">
        <v>835</v>
      </c>
      <c r="Q793"/>
    </row>
    <row r="794" spans="16:17" x14ac:dyDescent="0.3">
      <c r="P794" s="209" t="s">
        <v>836</v>
      </c>
      <c r="Q794"/>
    </row>
    <row r="795" spans="16:17" x14ac:dyDescent="0.3">
      <c r="P795" s="209" t="s">
        <v>837</v>
      </c>
      <c r="Q795"/>
    </row>
    <row r="796" spans="16:17" x14ac:dyDescent="0.3">
      <c r="P796" s="209" t="s">
        <v>838</v>
      </c>
      <c r="Q796"/>
    </row>
    <row r="797" spans="16:17" x14ac:dyDescent="0.3">
      <c r="P797" s="209" t="s">
        <v>839</v>
      </c>
      <c r="Q797"/>
    </row>
    <row r="798" spans="16:17" x14ac:dyDescent="0.3">
      <c r="P798" s="209" t="s">
        <v>840</v>
      </c>
      <c r="Q798"/>
    </row>
    <row r="799" spans="16:17" x14ac:dyDescent="0.3">
      <c r="P799" s="209" t="s">
        <v>841</v>
      </c>
      <c r="Q799"/>
    </row>
    <row r="800" spans="16:17" x14ac:dyDescent="0.3">
      <c r="P800" s="209" t="s">
        <v>842</v>
      </c>
      <c r="Q800"/>
    </row>
    <row r="801" spans="16:17" x14ac:dyDescent="0.3">
      <c r="P801" s="209" t="s">
        <v>843</v>
      </c>
      <c r="Q801"/>
    </row>
    <row r="802" spans="16:17" x14ac:dyDescent="0.3">
      <c r="P802" s="209" t="s">
        <v>844</v>
      </c>
      <c r="Q802"/>
    </row>
    <row r="803" spans="16:17" x14ac:dyDescent="0.3">
      <c r="P803" s="209" t="s">
        <v>845</v>
      </c>
      <c r="Q803"/>
    </row>
    <row r="804" spans="16:17" x14ac:dyDescent="0.3">
      <c r="P804" s="209" t="s">
        <v>846</v>
      </c>
      <c r="Q804"/>
    </row>
    <row r="805" spans="16:17" x14ac:dyDescent="0.3">
      <c r="P805" s="209" t="s">
        <v>847</v>
      </c>
      <c r="Q805"/>
    </row>
    <row r="806" spans="16:17" x14ac:dyDescent="0.3">
      <c r="P806" s="209" t="s">
        <v>848</v>
      </c>
      <c r="Q806"/>
    </row>
    <row r="807" spans="16:17" x14ac:dyDescent="0.3">
      <c r="P807" s="209" t="s">
        <v>849</v>
      </c>
      <c r="Q807"/>
    </row>
    <row r="808" spans="16:17" x14ac:dyDescent="0.3">
      <c r="P808" s="209" t="s">
        <v>850</v>
      </c>
      <c r="Q808"/>
    </row>
    <row r="809" spans="16:17" x14ac:dyDescent="0.3">
      <c r="P809" s="209" t="s">
        <v>851</v>
      </c>
      <c r="Q809"/>
    </row>
    <row r="810" spans="16:17" x14ac:dyDescent="0.3">
      <c r="P810" s="209" t="s">
        <v>852</v>
      </c>
      <c r="Q810"/>
    </row>
    <row r="811" spans="16:17" x14ac:dyDescent="0.3">
      <c r="P811" s="209" t="s">
        <v>853</v>
      </c>
      <c r="Q811"/>
    </row>
    <row r="812" spans="16:17" x14ac:dyDescent="0.3">
      <c r="P812" s="209" t="s">
        <v>854</v>
      </c>
      <c r="Q812"/>
    </row>
    <row r="813" spans="16:17" x14ac:dyDescent="0.3">
      <c r="P813" s="209" t="s">
        <v>855</v>
      </c>
      <c r="Q813"/>
    </row>
    <row r="814" spans="16:17" x14ac:dyDescent="0.3">
      <c r="P814" s="209" t="s">
        <v>856</v>
      </c>
      <c r="Q814"/>
    </row>
    <row r="815" spans="16:17" x14ac:dyDescent="0.3">
      <c r="P815" s="209" t="s">
        <v>857</v>
      </c>
      <c r="Q815"/>
    </row>
    <row r="816" spans="16:17" x14ac:dyDescent="0.3">
      <c r="P816" s="209" t="s">
        <v>858</v>
      </c>
      <c r="Q816"/>
    </row>
    <row r="817" spans="16:17" x14ac:dyDescent="0.3">
      <c r="P817" s="209" t="s">
        <v>859</v>
      </c>
      <c r="Q817"/>
    </row>
    <row r="818" spans="16:17" x14ac:dyDescent="0.3">
      <c r="P818" s="209" t="s">
        <v>860</v>
      </c>
      <c r="Q818"/>
    </row>
    <row r="819" spans="16:17" x14ac:dyDescent="0.3">
      <c r="P819" s="209" t="s">
        <v>861</v>
      </c>
      <c r="Q819"/>
    </row>
    <row r="820" spans="16:17" x14ac:dyDescent="0.3">
      <c r="P820" s="209" t="s">
        <v>862</v>
      </c>
      <c r="Q820"/>
    </row>
    <row r="821" spans="16:17" x14ac:dyDescent="0.3">
      <c r="P821" s="209" t="s">
        <v>863</v>
      </c>
      <c r="Q821"/>
    </row>
    <row r="822" spans="16:17" x14ac:dyDescent="0.3">
      <c r="P822" s="209" t="s">
        <v>864</v>
      </c>
      <c r="Q822"/>
    </row>
    <row r="823" spans="16:17" x14ac:dyDescent="0.3">
      <c r="P823" s="209" t="s">
        <v>865</v>
      </c>
      <c r="Q823"/>
    </row>
    <row r="824" spans="16:17" x14ac:dyDescent="0.3">
      <c r="P824" s="209" t="s">
        <v>866</v>
      </c>
      <c r="Q824"/>
    </row>
    <row r="825" spans="16:17" x14ac:dyDescent="0.3">
      <c r="P825" s="209" t="s">
        <v>867</v>
      </c>
      <c r="Q825"/>
    </row>
    <row r="826" spans="16:17" x14ac:dyDescent="0.3">
      <c r="P826" s="209" t="s">
        <v>868</v>
      </c>
      <c r="Q826"/>
    </row>
    <row r="827" spans="16:17" x14ac:dyDescent="0.3">
      <c r="P827" s="209" t="s">
        <v>869</v>
      </c>
      <c r="Q827"/>
    </row>
    <row r="828" spans="16:17" x14ac:dyDescent="0.3">
      <c r="P828" s="209" t="s">
        <v>870</v>
      </c>
      <c r="Q828"/>
    </row>
    <row r="829" spans="16:17" x14ac:dyDescent="0.3">
      <c r="P829" s="209" t="s">
        <v>871</v>
      </c>
      <c r="Q829"/>
    </row>
    <row r="830" spans="16:17" x14ac:dyDescent="0.3">
      <c r="P830" s="209" t="s">
        <v>872</v>
      </c>
      <c r="Q830"/>
    </row>
    <row r="831" spans="16:17" x14ac:dyDescent="0.3">
      <c r="P831" s="209" t="s">
        <v>873</v>
      </c>
      <c r="Q831"/>
    </row>
    <row r="832" spans="16:17" x14ac:dyDescent="0.3">
      <c r="P832" s="209" t="s">
        <v>874</v>
      </c>
      <c r="Q832"/>
    </row>
    <row r="833" spans="16:17" x14ac:dyDescent="0.3">
      <c r="P833" s="209" t="s">
        <v>875</v>
      </c>
      <c r="Q833"/>
    </row>
    <row r="834" spans="16:17" x14ac:dyDescent="0.3">
      <c r="P834" s="209" t="s">
        <v>876</v>
      </c>
      <c r="Q834"/>
    </row>
    <row r="835" spans="16:17" x14ac:dyDescent="0.3">
      <c r="P835" s="209" t="s">
        <v>877</v>
      </c>
      <c r="Q835"/>
    </row>
    <row r="836" spans="16:17" x14ac:dyDescent="0.3">
      <c r="P836" s="209" t="s">
        <v>878</v>
      </c>
      <c r="Q836"/>
    </row>
    <row r="837" spans="16:17" x14ac:dyDescent="0.3">
      <c r="P837" s="209" t="s">
        <v>879</v>
      </c>
      <c r="Q837"/>
    </row>
    <row r="838" spans="16:17" x14ac:dyDescent="0.3">
      <c r="P838" s="209" t="s">
        <v>880</v>
      </c>
      <c r="Q838"/>
    </row>
    <row r="839" spans="16:17" x14ac:dyDescent="0.3">
      <c r="P839" s="209" t="s">
        <v>881</v>
      </c>
      <c r="Q839"/>
    </row>
    <row r="840" spans="16:17" x14ac:dyDescent="0.3">
      <c r="P840" s="209" t="s">
        <v>882</v>
      </c>
      <c r="Q840"/>
    </row>
    <row r="841" spans="16:17" x14ac:dyDescent="0.3">
      <c r="P841" s="209" t="s">
        <v>883</v>
      </c>
      <c r="Q841"/>
    </row>
    <row r="842" spans="16:17" x14ac:dyDescent="0.3">
      <c r="P842" s="209" t="s">
        <v>884</v>
      </c>
      <c r="Q842"/>
    </row>
    <row r="843" spans="16:17" x14ac:dyDescent="0.3">
      <c r="P843" s="209" t="s">
        <v>885</v>
      </c>
      <c r="Q843"/>
    </row>
    <row r="844" spans="16:17" x14ac:dyDescent="0.3">
      <c r="P844" s="209" t="s">
        <v>886</v>
      </c>
      <c r="Q844"/>
    </row>
    <row r="845" spans="16:17" x14ac:dyDescent="0.3">
      <c r="P845" s="209" t="s">
        <v>887</v>
      </c>
      <c r="Q845"/>
    </row>
    <row r="846" spans="16:17" x14ac:dyDescent="0.3">
      <c r="P846" s="209" t="s">
        <v>888</v>
      </c>
      <c r="Q846"/>
    </row>
    <row r="847" spans="16:17" x14ac:dyDescent="0.3">
      <c r="P847" s="209" t="s">
        <v>889</v>
      </c>
      <c r="Q847"/>
    </row>
    <row r="848" spans="16:17" x14ac:dyDescent="0.3">
      <c r="P848" s="209" t="s">
        <v>890</v>
      </c>
      <c r="Q848"/>
    </row>
    <row r="849" spans="16:17" x14ac:dyDescent="0.3">
      <c r="P849" s="209" t="s">
        <v>891</v>
      </c>
      <c r="Q849"/>
    </row>
    <row r="850" spans="16:17" x14ac:dyDescent="0.3">
      <c r="P850" s="209" t="s">
        <v>892</v>
      </c>
      <c r="Q850"/>
    </row>
    <row r="851" spans="16:17" x14ac:dyDescent="0.3">
      <c r="P851" s="209" t="s">
        <v>893</v>
      </c>
      <c r="Q851"/>
    </row>
    <row r="852" spans="16:17" x14ac:dyDescent="0.3">
      <c r="P852" s="209" t="s">
        <v>894</v>
      </c>
      <c r="Q852"/>
    </row>
    <row r="853" spans="16:17" x14ac:dyDescent="0.3">
      <c r="P853" s="209" t="s">
        <v>895</v>
      </c>
      <c r="Q853"/>
    </row>
    <row r="854" spans="16:17" x14ac:dyDescent="0.3">
      <c r="P854" s="209" t="s">
        <v>896</v>
      </c>
      <c r="Q854"/>
    </row>
    <row r="855" spans="16:17" x14ac:dyDescent="0.3">
      <c r="P855" s="209" t="s">
        <v>897</v>
      </c>
      <c r="Q855"/>
    </row>
    <row r="856" spans="16:17" x14ac:dyDescent="0.3">
      <c r="P856" s="209" t="s">
        <v>898</v>
      </c>
      <c r="Q856"/>
    </row>
  </sheetData>
  <phoneticPr fontId="42" type="noConversion"/>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323E3-83B7-42E9-A94B-F398F312E05F}">
  <sheetPr>
    <pageSetUpPr fitToPage="1"/>
  </sheetPr>
  <dimension ref="A1:G69"/>
  <sheetViews>
    <sheetView zoomScaleNormal="100" workbookViewId="0"/>
  </sheetViews>
  <sheetFormatPr defaultRowHeight="14.4" x14ac:dyDescent="0.3"/>
  <cols>
    <col min="2" max="2" width="27" customWidth="1"/>
    <col min="3" max="5" width="22" customWidth="1"/>
    <col min="6" max="6" width="25.109375" customWidth="1"/>
    <col min="7" max="7" width="5" customWidth="1"/>
  </cols>
  <sheetData>
    <row r="1" spans="1:7" ht="21" x14ac:dyDescent="0.4">
      <c r="A1" s="84" t="s">
        <v>1168</v>
      </c>
      <c r="B1" s="15"/>
      <c r="C1" s="15"/>
      <c r="D1" s="15"/>
      <c r="E1" s="15"/>
      <c r="F1" s="15"/>
      <c r="G1" s="15"/>
    </row>
    <row r="2" spans="1:7" x14ac:dyDescent="0.3">
      <c r="A2" s="15" t="s">
        <v>1169</v>
      </c>
      <c r="B2" s="15"/>
      <c r="C2" s="15"/>
      <c r="D2" s="15"/>
      <c r="E2" s="15"/>
      <c r="F2" s="15"/>
      <c r="G2" s="15"/>
    </row>
    <row r="3" spans="1:7" x14ac:dyDescent="0.3">
      <c r="B3" s="15"/>
      <c r="C3" s="15"/>
      <c r="D3" s="15"/>
      <c r="E3" s="15"/>
      <c r="F3" s="15"/>
      <c r="G3" s="15"/>
    </row>
    <row r="4" spans="1:7" s="1" customFormat="1" ht="15.6" x14ac:dyDescent="0.3">
      <c r="A4" s="85" t="s">
        <v>1170</v>
      </c>
      <c r="B4" s="86"/>
      <c r="C4" s="86"/>
      <c r="D4" s="86"/>
      <c r="E4" s="86"/>
      <c r="F4" s="86"/>
      <c r="G4" s="86"/>
    </row>
    <row r="5" spans="1:7" s="1" customFormat="1" ht="15.6" x14ac:dyDescent="0.3">
      <c r="A5" s="85"/>
      <c r="B5" s="86"/>
      <c r="C5" s="86"/>
      <c r="D5" s="86"/>
      <c r="E5" s="86"/>
      <c r="F5" s="86"/>
      <c r="G5" s="86"/>
    </row>
    <row r="6" spans="1:7" ht="29.25" customHeight="1" x14ac:dyDescent="0.3">
      <c r="A6" s="15"/>
      <c r="B6" s="87" t="s">
        <v>1171</v>
      </c>
      <c r="C6" s="435" t="s">
        <v>1172</v>
      </c>
      <c r="D6" s="435"/>
      <c r="E6" s="435" t="s">
        <v>1173</v>
      </c>
      <c r="F6" s="435"/>
      <c r="G6" s="88"/>
    </row>
    <row r="7" spans="1:7" ht="81" customHeight="1" x14ac:dyDescent="0.3">
      <c r="A7" s="15"/>
      <c r="B7" s="89" t="s">
        <v>1174</v>
      </c>
      <c r="C7" s="436" t="s">
        <v>1175</v>
      </c>
      <c r="D7" s="436"/>
      <c r="E7" s="437" t="s">
        <v>40</v>
      </c>
      <c r="F7" s="437"/>
      <c r="G7" s="62"/>
    </row>
    <row r="8" spans="1:7" ht="141" customHeight="1" x14ac:dyDescent="0.3">
      <c r="A8" s="15"/>
      <c r="B8" s="89" t="s">
        <v>1176</v>
      </c>
      <c r="C8" s="438"/>
      <c r="D8" s="438"/>
      <c r="E8" s="439" t="s">
        <v>1177</v>
      </c>
      <c r="F8" s="439"/>
      <c r="G8" s="90"/>
    </row>
    <row r="9" spans="1:7" ht="105" customHeight="1" x14ac:dyDescent="0.3">
      <c r="A9" s="15"/>
      <c r="B9" s="89" t="s">
        <v>1178</v>
      </c>
      <c r="C9" s="438" t="s">
        <v>1179</v>
      </c>
      <c r="D9" s="438"/>
      <c r="E9" s="438" t="s">
        <v>1180</v>
      </c>
      <c r="F9" s="438"/>
      <c r="G9" s="91"/>
    </row>
    <row r="10" spans="1:7" ht="90" customHeight="1" x14ac:dyDescent="0.3">
      <c r="A10" s="15"/>
      <c r="B10" s="89" t="s">
        <v>1181</v>
      </c>
      <c r="C10" s="438" t="s">
        <v>1182</v>
      </c>
      <c r="D10" s="438"/>
      <c r="E10" s="438" t="s">
        <v>1183</v>
      </c>
      <c r="F10" s="438"/>
      <c r="G10" s="91"/>
    </row>
    <row r="11" spans="1:7" ht="17.25" customHeight="1" x14ac:dyDescent="0.3">
      <c r="A11" s="15"/>
      <c r="B11" s="15"/>
      <c r="C11" s="15"/>
      <c r="D11" s="15"/>
      <c r="E11" s="15"/>
      <c r="F11" s="15"/>
      <c r="G11" s="15"/>
    </row>
    <row r="12" spans="1:7" ht="15.6" x14ac:dyDescent="0.3">
      <c r="A12" s="85" t="s">
        <v>1184</v>
      </c>
      <c r="B12" s="15"/>
      <c r="C12" s="15"/>
      <c r="D12" s="15"/>
      <c r="E12" s="15"/>
      <c r="F12" s="15"/>
      <c r="G12" s="15"/>
    </row>
    <row r="13" spans="1:7" ht="16.2" thickBot="1" x14ac:dyDescent="0.35">
      <c r="A13" s="85"/>
      <c r="B13" s="15"/>
      <c r="C13" s="15"/>
      <c r="D13" s="15"/>
      <c r="E13" s="15"/>
      <c r="F13" s="15"/>
      <c r="G13" s="15"/>
    </row>
    <row r="14" spans="1:7" ht="15" thickBot="1" x14ac:dyDescent="0.35">
      <c r="A14" s="15"/>
      <c r="B14" s="92" t="s">
        <v>1185</v>
      </c>
      <c r="C14" s="93" t="s">
        <v>1186</v>
      </c>
      <c r="D14" s="93" t="s">
        <v>1187</v>
      </c>
      <c r="E14" s="93" t="s">
        <v>1188</v>
      </c>
      <c r="F14" s="94" t="s">
        <v>1189</v>
      </c>
      <c r="G14" s="86"/>
    </row>
    <row r="15" spans="1:7" x14ac:dyDescent="0.3">
      <c r="A15" s="15"/>
      <c r="B15" s="432" t="s">
        <v>1228</v>
      </c>
      <c r="C15" s="95" t="s">
        <v>1190</v>
      </c>
      <c r="D15" s="95" t="s">
        <v>1191</v>
      </c>
      <c r="E15" s="95" t="s">
        <v>1191</v>
      </c>
      <c r="F15" s="96" t="s">
        <v>1191</v>
      </c>
      <c r="G15" s="15"/>
    </row>
    <row r="16" spans="1:7" x14ac:dyDescent="0.3">
      <c r="A16" s="15"/>
      <c r="B16" s="433"/>
      <c r="C16" s="97" t="s">
        <v>1192</v>
      </c>
      <c r="D16" s="97" t="s">
        <v>1191</v>
      </c>
      <c r="E16" s="97" t="s">
        <v>1191</v>
      </c>
      <c r="F16" s="98" t="s">
        <v>1191</v>
      </c>
      <c r="G16" s="15"/>
    </row>
    <row r="17" spans="1:7" x14ac:dyDescent="0.3">
      <c r="A17" s="15"/>
      <c r="B17" s="433"/>
      <c r="C17" s="97" t="s">
        <v>1193</v>
      </c>
      <c r="D17" s="97" t="s">
        <v>1191</v>
      </c>
      <c r="E17" s="97" t="s">
        <v>1191</v>
      </c>
      <c r="F17" s="98" t="s">
        <v>1191</v>
      </c>
      <c r="G17" s="15"/>
    </row>
    <row r="18" spans="1:7" x14ac:dyDescent="0.3">
      <c r="A18" s="15"/>
      <c r="B18" s="433"/>
      <c r="C18" s="97" t="s">
        <v>1194</v>
      </c>
      <c r="D18" s="97" t="s">
        <v>1191</v>
      </c>
      <c r="E18" s="97" t="s">
        <v>1191</v>
      </c>
      <c r="F18" s="98" t="s">
        <v>1191</v>
      </c>
      <c r="G18" s="15"/>
    </row>
    <row r="19" spans="1:7" x14ac:dyDescent="0.3">
      <c r="A19" s="15"/>
      <c r="B19" s="433"/>
      <c r="C19" s="97" t="s">
        <v>1195</v>
      </c>
      <c r="D19" s="97" t="s">
        <v>1191</v>
      </c>
      <c r="E19" s="97" t="s">
        <v>1191</v>
      </c>
      <c r="F19" s="98" t="s">
        <v>1191</v>
      </c>
      <c r="G19" s="15"/>
    </row>
    <row r="20" spans="1:7" x14ac:dyDescent="0.3">
      <c r="A20" s="15"/>
      <c r="B20" s="433"/>
      <c r="C20" s="97" t="s">
        <v>1196</v>
      </c>
      <c r="D20" s="97" t="s">
        <v>1191</v>
      </c>
      <c r="E20" s="97" t="s">
        <v>1191</v>
      </c>
      <c r="F20" s="98" t="s">
        <v>1191</v>
      </c>
      <c r="G20" s="15"/>
    </row>
    <row r="21" spans="1:7" x14ac:dyDescent="0.3">
      <c r="A21" s="15"/>
      <c r="B21" s="433"/>
      <c r="C21" s="97" t="s">
        <v>1197</v>
      </c>
      <c r="D21" s="97" t="s">
        <v>1191</v>
      </c>
      <c r="E21" s="97" t="s">
        <v>1191</v>
      </c>
      <c r="F21" s="98" t="s">
        <v>1191</v>
      </c>
      <c r="G21" s="15"/>
    </row>
    <row r="22" spans="1:7" x14ac:dyDescent="0.3">
      <c r="A22" s="15"/>
      <c r="B22" s="433"/>
      <c r="C22" s="97" t="s">
        <v>1198</v>
      </c>
      <c r="D22" s="97" t="s">
        <v>1191</v>
      </c>
      <c r="E22" s="97" t="s">
        <v>1191</v>
      </c>
      <c r="F22" s="98" t="s">
        <v>1191</v>
      </c>
      <c r="G22" s="15"/>
    </row>
    <row r="23" spans="1:7" ht="15" thickBot="1" x14ac:dyDescent="0.35">
      <c r="A23" s="15"/>
      <c r="B23" s="434"/>
      <c r="C23" s="99" t="s">
        <v>1199</v>
      </c>
      <c r="D23" s="99" t="s">
        <v>1191</v>
      </c>
      <c r="E23" s="99" t="s">
        <v>1191</v>
      </c>
      <c r="F23" s="100" t="s">
        <v>1191</v>
      </c>
      <c r="G23" s="15"/>
    </row>
    <row r="24" spans="1:7" x14ac:dyDescent="0.3">
      <c r="A24" s="15"/>
      <c r="B24" s="432" t="s">
        <v>1200</v>
      </c>
      <c r="C24" s="101" t="s">
        <v>1190</v>
      </c>
      <c r="D24" s="101" t="s">
        <v>1201</v>
      </c>
      <c r="E24" s="101" t="s">
        <v>1191</v>
      </c>
      <c r="F24" s="102" t="s">
        <v>1191</v>
      </c>
      <c r="G24" s="15"/>
    </row>
    <row r="25" spans="1:7" x14ac:dyDescent="0.3">
      <c r="A25" s="15"/>
      <c r="B25" s="433"/>
      <c r="C25" s="103" t="s">
        <v>1190</v>
      </c>
      <c r="D25" s="103" t="s">
        <v>1202</v>
      </c>
      <c r="E25" s="103" t="s">
        <v>1191</v>
      </c>
      <c r="F25" s="104" t="s">
        <v>1191</v>
      </c>
      <c r="G25" s="15"/>
    </row>
    <row r="26" spans="1:7" x14ac:dyDescent="0.3">
      <c r="A26" s="15"/>
      <c r="B26" s="433"/>
      <c r="C26" s="105" t="s">
        <v>1192</v>
      </c>
      <c r="D26" s="105" t="s">
        <v>1191</v>
      </c>
      <c r="E26" s="105" t="s">
        <v>1191</v>
      </c>
      <c r="F26" s="106" t="s">
        <v>1203</v>
      </c>
      <c r="G26" s="15"/>
    </row>
    <row r="27" spans="1:7" x14ac:dyDescent="0.3">
      <c r="A27" s="15"/>
      <c r="B27" s="433"/>
      <c r="C27" s="105" t="s">
        <v>1193</v>
      </c>
      <c r="D27" s="105" t="s">
        <v>1191</v>
      </c>
      <c r="E27" s="105" t="s">
        <v>1191</v>
      </c>
      <c r="F27" s="106" t="s">
        <v>1203</v>
      </c>
      <c r="G27" s="15"/>
    </row>
    <row r="28" spans="1:7" x14ac:dyDescent="0.3">
      <c r="A28" s="15"/>
      <c r="B28" s="433"/>
      <c r="C28" s="105" t="s">
        <v>1193</v>
      </c>
      <c r="D28" s="105" t="s">
        <v>1191</v>
      </c>
      <c r="E28" s="105" t="s">
        <v>1191</v>
      </c>
      <c r="F28" s="106" t="s">
        <v>1204</v>
      </c>
      <c r="G28" s="15"/>
    </row>
    <row r="29" spans="1:7" x14ac:dyDescent="0.3">
      <c r="A29" s="15"/>
      <c r="B29" s="433"/>
      <c r="C29" s="105" t="s">
        <v>1197</v>
      </c>
      <c r="D29" s="105" t="s">
        <v>1191</v>
      </c>
      <c r="E29" s="105" t="s">
        <v>1191</v>
      </c>
      <c r="F29" s="106" t="s">
        <v>1191</v>
      </c>
      <c r="G29" s="15"/>
    </row>
    <row r="30" spans="1:7" x14ac:dyDescent="0.3">
      <c r="A30" s="15"/>
      <c r="B30" s="433"/>
      <c r="C30" s="105" t="s">
        <v>1198</v>
      </c>
      <c r="D30" s="105" t="s">
        <v>1191</v>
      </c>
      <c r="E30" s="105" t="s">
        <v>1191</v>
      </c>
      <c r="F30" s="106" t="s">
        <v>1191</v>
      </c>
      <c r="G30" s="15"/>
    </row>
    <row r="31" spans="1:7" ht="15" thickBot="1" x14ac:dyDescent="0.35">
      <c r="A31" s="15"/>
      <c r="B31" s="434"/>
      <c r="C31" s="107" t="s">
        <v>1199</v>
      </c>
      <c r="D31" s="107" t="s">
        <v>1191</v>
      </c>
      <c r="E31" s="107" t="s">
        <v>1191</v>
      </c>
      <c r="F31" s="108" t="s">
        <v>1191</v>
      </c>
      <c r="G31" s="15"/>
    </row>
    <row r="32" spans="1:7" x14ac:dyDescent="0.3">
      <c r="A32" s="15"/>
      <c r="B32" s="432" t="s">
        <v>1205</v>
      </c>
      <c r="C32" s="101" t="s">
        <v>1192</v>
      </c>
      <c r="D32" s="101" t="s">
        <v>1191</v>
      </c>
      <c r="E32" s="101" t="s">
        <v>1191</v>
      </c>
      <c r="F32" s="102" t="s">
        <v>1206</v>
      </c>
      <c r="G32" s="15"/>
    </row>
    <row r="33" spans="1:7" x14ac:dyDescent="0.3">
      <c r="A33" s="15"/>
      <c r="B33" s="433"/>
      <c r="C33" s="103" t="s">
        <v>1193</v>
      </c>
      <c r="D33" s="103" t="s">
        <v>1191</v>
      </c>
      <c r="E33" s="103" t="s">
        <v>1191</v>
      </c>
      <c r="F33" s="104" t="s">
        <v>1206</v>
      </c>
      <c r="G33" s="15"/>
    </row>
    <row r="34" spans="1:7" x14ac:dyDescent="0.3">
      <c r="A34" s="15"/>
      <c r="B34" s="433"/>
      <c r="C34" s="103" t="s">
        <v>1194</v>
      </c>
      <c r="D34" s="103" t="s">
        <v>1191</v>
      </c>
      <c r="E34" s="103" t="s">
        <v>1191</v>
      </c>
      <c r="F34" s="104" t="s">
        <v>1191</v>
      </c>
      <c r="G34" s="15"/>
    </row>
    <row r="35" spans="1:7" x14ac:dyDescent="0.3">
      <c r="A35" s="15"/>
      <c r="B35" s="433"/>
      <c r="C35" s="105" t="s">
        <v>1195</v>
      </c>
      <c r="D35" s="105" t="s">
        <v>1191</v>
      </c>
      <c r="E35" s="105" t="s">
        <v>1191</v>
      </c>
      <c r="F35" s="106" t="s">
        <v>1191</v>
      </c>
      <c r="G35" s="15"/>
    </row>
    <row r="36" spans="1:7" ht="15" thickBot="1" x14ac:dyDescent="0.35">
      <c r="A36" s="15"/>
      <c r="B36" s="434"/>
      <c r="C36" s="109" t="s">
        <v>1196</v>
      </c>
      <c r="D36" s="109" t="s">
        <v>1191</v>
      </c>
      <c r="E36" s="109" t="s">
        <v>1191</v>
      </c>
      <c r="F36" s="110" t="s">
        <v>1191</v>
      </c>
      <c r="G36" s="15"/>
    </row>
    <row r="37" spans="1:7" x14ac:dyDescent="0.3">
      <c r="A37" s="15"/>
      <c r="B37" s="432" t="s">
        <v>1207</v>
      </c>
      <c r="C37" s="95" t="s">
        <v>1190</v>
      </c>
      <c r="D37" s="95" t="s">
        <v>1201</v>
      </c>
      <c r="E37" s="95" t="s">
        <v>1191</v>
      </c>
      <c r="F37" s="96" t="s">
        <v>1191</v>
      </c>
      <c r="G37" s="15"/>
    </row>
    <row r="38" spans="1:7" x14ac:dyDescent="0.3">
      <c r="A38" s="15"/>
      <c r="B38" s="433"/>
      <c r="C38" s="97" t="s">
        <v>1190</v>
      </c>
      <c r="D38" s="97" t="s">
        <v>1202</v>
      </c>
      <c r="E38" s="111">
        <v>520300</v>
      </c>
      <c r="F38" s="98" t="s">
        <v>1191</v>
      </c>
      <c r="G38" s="15"/>
    </row>
    <row r="39" spans="1:7" x14ac:dyDescent="0.3">
      <c r="A39" s="15"/>
      <c r="B39" s="433"/>
      <c r="C39" s="97" t="s">
        <v>1190</v>
      </c>
      <c r="D39" s="97" t="s">
        <v>1202</v>
      </c>
      <c r="E39" s="111">
        <v>520020</v>
      </c>
      <c r="F39" s="98" t="s">
        <v>1191</v>
      </c>
      <c r="G39" s="15"/>
    </row>
    <row r="40" spans="1:7" x14ac:dyDescent="0.3">
      <c r="A40" s="15"/>
      <c r="B40" s="433"/>
      <c r="C40" s="97" t="s">
        <v>1190</v>
      </c>
      <c r="D40" s="97" t="s">
        <v>1202</v>
      </c>
      <c r="E40" s="111">
        <v>520010</v>
      </c>
      <c r="F40" s="98" t="s">
        <v>1191</v>
      </c>
      <c r="G40" s="15"/>
    </row>
    <row r="41" spans="1:7" x14ac:dyDescent="0.3">
      <c r="A41" s="15"/>
      <c r="B41" s="433"/>
      <c r="C41" s="97" t="s">
        <v>1192</v>
      </c>
      <c r="D41" s="97" t="s">
        <v>1191</v>
      </c>
      <c r="E41" s="97" t="s">
        <v>1191</v>
      </c>
      <c r="F41" s="98" t="s">
        <v>1203</v>
      </c>
      <c r="G41" s="15"/>
    </row>
    <row r="42" spans="1:7" x14ac:dyDescent="0.3">
      <c r="A42" s="15"/>
      <c r="B42" s="433"/>
      <c r="C42" s="97" t="s">
        <v>1193</v>
      </c>
      <c r="D42" s="97" t="s">
        <v>1191</v>
      </c>
      <c r="E42" s="97" t="s">
        <v>1191</v>
      </c>
      <c r="F42" s="98" t="s">
        <v>1203</v>
      </c>
      <c r="G42" s="15"/>
    </row>
    <row r="43" spans="1:7" x14ac:dyDescent="0.3">
      <c r="A43" s="15"/>
      <c r="B43" s="433"/>
      <c r="C43" s="97" t="s">
        <v>1197</v>
      </c>
      <c r="D43" s="97" t="s">
        <v>1191</v>
      </c>
      <c r="E43" s="97" t="s">
        <v>1191</v>
      </c>
      <c r="F43" s="98" t="s">
        <v>1191</v>
      </c>
      <c r="G43" s="15"/>
    </row>
    <row r="44" spans="1:7" x14ac:dyDescent="0.3">
      <c r="A44" s="15"/>
      <c r="B44" s="433"/>
      <c r="C44" s="97" t="s">
        <v>1198</v>
      </c>
      <c r="D44" s="97" t="s">
        <v>1191</v>
      </c>
      <c r="E44" s="97" t="s">
        <v>1191</v>
      </c>
      <c r="F44" s="98" t="s">
        <v>1191</v>
      </c>
      <c r="G44" s="15"/>
    </row>
    <row r="45" spans="1:7" ht="15" thickBot="1" x14ac:dyDescent="0.35">
      <c r="A45" s="15"/>
      <c r="B45" s="434"/>
      <c r="C45" s="99" t="s">
        <v>1199</v>
      </c>
      <c r="D45" s="99" t="s">
        <v>1191</v>
      </c>
      <c r="E45" s="99" t="s">
        <v>1191</v>
      </c>
      <c r="F45" s="100" t="s">
        <v>1191</v>
      </c>
      <c r="G45" s="15"/>
    </row>
    <row r="46" spans="1:7" x14ac:dyDescent="0.3">
      <c r="A46" s="15"/>
      <c r="B46" s="432" t="s">
        <v>1208</v>
      </c>
      <c r="C46" s="112" t="s">
        <v>1190</v>
      </c>
      <c r="D46" s="112" t="s">
        <v>1202</v>
      </c>
      <c r="E46" s="113">
        <v>520110</v>
      </c>
      <c r="F46" s="96" t="s">
        <v>1191</v>
      </c>
      <c r="G46" s="15"/>
    </row>
    <row r="47" spans="1:7" x14ac:dyDescent="0.3">
      <c r="A47" s="15"/>
      <c r="B47" s="433"/>
      <c r="C47" s="97" t="s">
        <v>1190</v>
      </c>
      <c r="D47" s="97" t="s">
        <v>1202</v>
      </c>
      <c r="E47" s="114">
        <v>520100</v>
      </c>
      <c r="F47" s="115" t="s">
        <v>1191</v>
      </c>
      <c r="G47" s="15"/>
    </row>
    <row r="48" spans="1:7" x14ac:dyDescent="0.3">
      <c r="A48" s="15"/>
      <c r="B48" s="433"/>
      <c r="C48" s="116" t="s">
        <v>1190</v>
      </c>
      <c r="D48" s="116" t="s">
        <v>1202</v>
      </c>
      <c r="E48" s="114">
        <v>520090</v>
      </c>
      <c r="F48" s="115" t="s">
        <v>1191</v>
      </c>
      <c r="G48" s="15"/>
    </row>
    <row r="49" spans="1:7" x14ac:dyDescent="0.3">
      <c r="A49" s="15"/>
      <c r="B49" s="433"/>
      <c r="C49" s="116" t="s">
        <v>1192</v>
      </c>
      <c r="D49" s="116" t="s">
        <v>1191</v>
      </c>
      <c r="E49" s="116" t="s">
        <v>1191</v>
      </c>
      <c r="F49" s="115" t="s">
        <v>1206</v>
      </c>
      <c r="G49" s="15"/>
    </row>
    <row r="50" spans="1:7" x14ac:dyDescent="0.3">
      <c r="A50" s="15"/>
      <c r="B50" s="433"/>
      <c r="C50" s="116" t="s">
        <v>1193</v>
      </c>
      <c r="D50" s="116" t="s">
        <v>1191</v>
      </c>
      <c r="E50" s="116" t="s">
        <v>1191</v>
      </c>
      <c r="F50" s="115" t="s">
        <v>1204</v>
      </c>
      <c r="G50" s="15"/>
    </row>
    <row r="51" spans="1:7" x14ac:dyDescent="0.3">
      <c r="A51" s="15"/>
      <c r="B51" s="433"/>
      <c r="C51" s="116" t="s">
        <v>1193</v>
      </c>
      <c r="D51" s="116" t="s">
        <v>1191</v>
      </c>
      <c r="E51" s="116" t="s">
        <v>1191</v>
      </c>
      <c r="F51" s="115" t="s">
        <v>1206</v>
      </c>
      <c r="G51" s="15"/>
    </row>
    <row r="52" spans="1:7" x14ac:dyDescent="0.3">
      <c r="A52" s="15"/>
      <c r="B52" s="433"/>
      <c r="C52" s="97" t="s">
        <v>1194</v>
      </c>
      <c r="D52" s="97" t="s">
        <v>1191</v>
      </c>
      <c r="E52" s="97" t="s">
        <v>1191</v>
      </c>
      <c r="F52" s="98" t="s">
        <v>1191</v>
      </c>
      <c r="G52" s="15"/>
    </row>
    <row r="53" spans="1:7" x14ac:dyDescent="0.3">
      <c r="A53" s="15"/>
      <c r="B53" s="433"/>
      <c r="C53" s="97" t="s">
        <v>1195</v>
      </c>
      <c r="D53" s="97" t="s">
        <v>1191</v>
      </c>
      <c r="E53" s="97" t="s">
        <v>1191</v>
      </c>
      <c r="F53" s="98" t="s">
        <v>1191</v>
      </c>
      <c r="G53" s="15"/>
    </row>
    <row r="54" spans="1:7" ht="15" thickBot="1" x14ac:dyDescent="0.35">
      <c r="A54" s="15"/>
      <c r="B54" s="434"/>
      <c r="C54" s="99" t="s">
        <v>1196</v>
      </c>
      <c r="D54" s="99" t="s">
        <v>1191</v>
      </c>
      <c r="E54" s="99" t="s">
        <v>1191</v>
      </c>
      <c r="F54" s="100" t="s">
        <v>1191</v>
      </c>
      <c r="G54" s="15"/>
    </row>
    <row r="55" spans="1:7" x14ac:dyDescent="0.3">
      <c r="A55" s="15"/>
      <c r="B55" s="440" t="s">
        <v>1137</v>
      </c>
      <c r="C55" s="101" t="s">
        <v>1198</v>
      </c>
      <c r="D55" s="101" t="s">
        <v>1191</v>
      </c>
      <c r="E55" s="117">
        <v>542040</v>
      </c>
      <c r="F55" s="102" t="s">
        <v>1191</v>
      </c>
      <c r="G55" s="15"/>
    </row>
    <row r="56" spans="1:7" ht="15" thickBot="1" x14ac:dyDescent="0.35">
      <c r="A56" s="15"/>
      <c r="B56" s="441"/>
      <c r="C56" s="118" t="s">
        <v>1198</v>
      </c>
      <c r="D56" s="118" t="s">
        <v>1191</v>
      </c>
      <c r="E56" s="119">
        <v>541062</v>
      </c>
      <c r="F56" s="120" t="s">
        <v>1191</v>
      </c>
      <c r="G56" s="15"/>
    </row>
    <row r="57" spans="1:7" x14ac:dyDescent="0.3">
      <c r="A57" s="15"/>
      <c r="B57" s="15"/>
      <c r="C57" s="15"/>
      <c r="D57" s="15"/>
      <c r="E57" s="15"/>
      <c r="F57" s="15"/>
      <c r="G57" s="15"/>
    </row>
    <row r="58" spans="1:7" ht="15" customHeight="1" x14ac:dyDescent="0.3">
      <c r="A58" s="15"/>
      <c r="B58" s="121" t="s">
        <v>1209</v>
      </c>
      <c r="C58" s="121" t="s">
        <v>1186</v>
      </c>
      <c r="D58" s="121" t="s">
        <v>1187</v>
      </c>
      <c r="E58" s="442" t="s">
        <v>1210</v>
      </c>
      <c r="F58" s="442"/>
      <c r="G58" s="122"/>
    </row>
    <row r="59" spans="1:7" x14ac:dyDescent="0.3">
      <c r="A59" s="15"/>
      <c r="B59" s="449" t="s">
        <v>1211</v>
      </c>
      <c r="C59" s="123" t="s">
        <v>1190</v>
      </c>
      <c r="D59" s="123" t="s">
        <v>1209</v>
      </c>
      <c r="E59" s="443" t="s">
        <v>1212</v>
      </c>
      <c r="F59" s="443"/>
      <c r="G59" s="62"/>
    </row>
    <row r="60" spans="1:7" x14ac:dyDescent="0.3">
      <c r="A60" s="15"/>
      <c r="B60" s="450"/>
      <c r="C60" s="123" t="s">
        <v>1190</v>
      </c>
      <c r="D60" s="123" t="s">
        <v>1202</v>
      </c>
      <c r="E60" s="443" t="s">
        <v>1213</v>
      </c>
      <c r="F60" s="443"/>
      <c r="G60" s="62"/>
    </row>
    <row r="61" spans="1:7" x14ac:dyDescent="0.3">
      <c r="A61" s="15"/>
      <c r="B61" s="450"/>
      <c r="C61" s="123" t="s">
        <v>1193</v>
      </c>
      <c r="D61" s="123" t="s">
        <v>1214</v>
      </c>
      <c r="E61" s="443" t="s">
        <v>1215</v>
      </c>
      <c r="F61" s="443"/>
      <c r="G61" s="62"/>
    </row>
    <row r="62" spans="1:7" x14ac:dyDescent="0.3">
      <c r="A62" s="15"/>
      <c r="B62" s="450"/>
      <c r="C62" s="123" t="s">
        <v>1192</v>
      </c>
      <c r="D62" s="123" t="s">
        <v>1214</v>
      </c>
      <c r="E62" s="443" t="s">
        <v>1216</v>
      </c>
      <c r="F62" s="443"/>
      <c r="G62" s="62"/>
    </row>
    <row r="63" spans="1:7" x14ac:dyDescent="0.3">
      <c r="A63" s="15"/>
      <c r="B63" s="450"/>
      <c r="C63" s="123" t="s">
        <v>1194</v>
      </c>
      <c r="D63" s="123" t="s">
        <v>1214</v>
      </c>
      <c r="E63" s="443" t="s">
        <v>1217</v>
      </c>
      <c r="F63" s="443"/>
      <c r="G63" s="62"/>
    </row>
    <row r="64" spans="1:7" x14ac:dyDescent="0.3">
      <c r="A64" s="15"/>
      <c r="B64" s="450"/>
      <c r="C64" s="123" t="s">
        <v>1195</v>
      </c>
      <c r="D64" s="123" t="s">
        <v>1214</v>
      </c>
      <c r="E64" s="443" t="s">
        <v>1218</v>
      </c>
      <c r="F64" s="443"/>
      <c r="G64" s="62"/>
    </row>
    <row r="65" spans="1:7" x14ac:dyDescent="0.3">
      <c r="A65" s="15"/>
      <c r="B65" s="451"/>
      <c r="C65" s="123" t="s">
        <v>1196</v>
      </c>
      <c r="D65" s="123" t="s">
        <v>1214</v>
      </c>
      <c r="E65" s="443" t="s">
        <v>1219</v>
      </c>
      <c r="F65" s="443"/>
      <c r="G65" s="62"/>
    </row>
    <row r="66" spans="1:7" x14ac:dyDescent="0.3">
      <c r="A66" s="15"/>
      <c r="B66" s="444" t="s">
        <v>1220</v>
      </c>
      <c r="C66" s="124" t="s">
        <v>1197</v>
      </c>
      <c r="D66" s="124" t="s">
        <v>1214</v>
      </c>
      <c r="E66" s="447" t="s">
        <v>1221</v>
      </c>
      <c r="F66" s="448"/>
      <c r="G66" s="62"/>
    </row>
    <row r="67" spans="1:7" x14ac:dyDescent="0.3">
      <c r="A67" s="15"/>
      <c r="B67" s="445"/>
      <c r="C67" s="124" t="s">
        <v>1198</v>
      </c>
      <c r="D67" s="124" t="s">
        <v>1214</v>
      </c>
      <c r="E67" s="447" t="s">
        <v>1222</v>
      </c>
      <c r="F67" s="448"/>
      <c r="G67" s="62"/>
    </row>
    <row r="68" spans="1:7" x14ac:dyDescent="0.3">
      <c r="A68" s="15"/>
      <c r="B68" s="446"/>
      <c r="C68" s="124" t="s">
        <v>1199</v>
      </c>
      <c r="D68" s="124" t="s">
        <v>1214</v>
      </c>
      <c r="E68" s="447" t="s">
        <v>1223</v>
      </c>
      <c r="F68" s="448"/>
      <c r="G68" s="62"/>
    </row>
    <row r="69" spans="1:7" x14ac:dyDescent="0.3">
      <c r="A69" s="15"/>
      <c r="B69" s="15"/>
      <c r="C69" s="15"/>
      <c r="D69" s="15"/>
      <c r="E69" s="15"/>
      <c r="F69" s="15"/>
      <c r="G69" s="15"/>
    </row>
  </sheetData>
  <mergeCells count="29">
    <mergeCell ref="E63:F63"/>
    <mergeCell ref="E64:F64"/>
    <mergeCell ref="E65:F65"/>
    <mergeCell ref="B66:B68"/>
    <mergeCell ref="E66:F66"/>
    <mergeCell ref="E67:F67"/>
    <mergeCell ref="E68:F68"/>
    <mergeCell ref="B59:B65"/>
    <mergeCell ref="E59:F59"/>
    <mergeCell ref="E60:F60"/>
    <mergeCell ref="E61:F61"/>
    <mergeCell ref="E62:F62"/>
    <mergeCell ref="B32:B36"/>
    <mergeCell ref="B37:B45"/>
    <mergeCell ref="B46:B54"/>
    <mergeCell ref="B55:B56"/>
    <mergeCell ref="E58:F58"/>
    <mergeCell ref="B24:B31"/>
    <mergeCell ref="C6:D6"/>
    <mergeCell ref="E6:F6"/>
    <mergeCell ref="C7:D7"/>
    <mergeCell ref="E7:F7"/>
    <mergeCell ref="C8:D8"/>
    <mergeCell ref="E8:F8"/>
    <mergeCell ref="C9:D9"/>
    <mergeCell ref="E9:F9"/>
    <mergeCell ref="C10:D10"/>
    <mergeCell ref="E10:F10"/>
    <mergeCell ref="B15:B23"/>
  </mergeCells>
  <pageMargins left="0.25" right="0.25" top="0.75" bottom="0.75" header="0.3" footer="0.3"/>
  <pageSetup scale="77" fitToHeight="0" orientation="portrait" r:id="rId1"/>
  <rowBreaks count="1" manualBreakCount="1">
    <brk id="11"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3CBFC-3364-4D1F-AE6F-7931A9A334D6}">
  <sheetPr codeName="Sheet5"/>
  <dimension ref="A1:T80"/>
  <sheetViews>
    <sheetView workbookViewId="0">
      <selection activeCell="D4" sqref="D4"/>
    </sheetView>
  </sheetViews>
  <sheetFormatPr defaultRowHeight="14.4" x14ac:dyDescent="0.3"/>
  <cols>
    <col min="1" max="1" width="13" customWidth="1"/>
    <col min="2" max="2" width="16.33203125" customWidth="1"/>
    <col min="3" max="3" width="15.33203125" customWidth="1"/>
    <col min="4" max="4" width="26.5546875" customWidth="1"/>
    <col min="5" max="5" width="27.6640625" customWidth="1"/>
    <col min="6" max="6" width="29.6640625" customWidth="1"/>
    <col min="7" max="7" width="29.33203125" customWidth="1"/>
    <col min="8" max="8" width="32.6640625" customWidth="1"/>
    <col min="9" max="9" width="29.6640625" customWidth="1"/>
    <col min="10" max="10" width="24.6640625" customWidth="1"/>
    <col min="11" max="11" width="21.5546875" bestFit="1" customWidth="1"/>
    <col min="12" max="12" width="15.33203125" customWidth="1"/>
    <col min="13" max="13" width="28.6640625" customWidth="1"/>
    <col min="14" max="14" width="29.6640625" customWidth="1"/>
    <col min="15" max="15" width="8.44140625" customWidth="1"/>
    <col min="16" max="16" width="16.44140625" customWidth="1"/>
    <col min="17" max="17" width="31.33203125" customWidth="1"/>
    <col min="19" max="19" width="31.5546875" customWidth="1"/>
    <col min="20" max="20" width="34.33203125" customWidth="1"/>
  </cols>
  <sheetData>
    <row r="1" spans="1:20" x14ac:dyDescent="0.3">
      <c r="A1" s="1" t="s">
        <v>1074</v>
      </c>
      <c r="B1" s="1" t="s">
        <v>1074</v>
      </c>
      <c r="C1" s="1" t="s">
        <v>1074</v>
      </c>
      <c r="D1" s="1" t="s">
        <v>1074</v>
      </c>
      <c r="E1" s="1" t="s">
        <v>1074</v>
      </c>
      <c r="F1" s="1" t="s">
        <v>1074</v>
      </c>
      <c r="G1" s="1" t="s">
        <v>1074</v>
      </c>
      <c r="H1" s="1" t="s">
        <v>1074</v>
      </c>
      <c r="I1" s="1" t="s">
        <v>1074</v>
      </c>
      <c r="J1" s="1" t="s">
        <v>1074</v>
      </c>
      <c r="K1" s="452" t="s">
        <v>1114</v>
      </c>
      <c r="L1" s="452"/>
      <c r="M1" s="452"/>
      <c r="N1" s="452"/>
      <c r="O1" s="16"/>
      <c r="P1" s="16"/>
      <c r="S1" s="453" t="s">
        <v>1117</v>
      </c>
      <c r="T1" s="453"/>
    </row>
    <row r="2" spans="1:20" x14ac:dyDescent="0.3">
      <c r="A2" s="1" t="s">
        <v>25</v>
      </c>
      <c r="B2" s="1" t="s">
        <v>1084</v>
      </c>
      <c r="C2" s="1" t="s">
        <v>26</v>
      </c>
      <c r="D2" s="1" t="s">
        <v>28</v>
      </c>
      <c r="E2" s="1" t="s">
        <v>27</v>
      </c>
      <c r="F2" s="1" t="s">
        <v>29</v>
      </c>
      <c r="G2" s="1" t="s">
        <v>30</v>
      </c>
      <c r="H2" s="1" t="s">
        <v>1081</v>
      </c>
      <c r="I2" s="1" t="s">
        <v>1085</v>
      </c>
      <c r="J2" s="3" t="s">
        <v>15</v>
      </c>
      <c r="K2" s="9"/>
      <c r="L2" s="9"/>
      <c r="M2" s="9"/>
      <c r="N2" s="9"/>
      <c r="O2" s="1"/>
      <c r="P2" s="454" t="s">
        <v>1141</v>
      </c>
      <c r="Q2" s="454"/>
      <c r="S2" s="13" t="s">
        <v>1065</v>
      </c>
      <c r="T2" s="13" t="s">
        <v>1118</v>
      </c>
    </row>
    <row r="3" spans="1:20" x14ac:dyDescent="0.3">
      <c r="A3" s="1" t="s">
        <v>1075</v>
      </c>
      <c r="B3" s="1" t="s">
        <v>1083</v>
      </c>
      <c r="C3" s="1" t="s">
        <v>1076</v>
      </c>
      <c r="D3" s="1" t="s">
        <v>1077</v>
      </c>
      <c r="E3" s="1" t="s">
        <v>1078</v>
      </c>
      <c r="F3" s="1" t="s">
        <v>1079</v>
      </c>
      <c r="G3" s="1" t="s">
        <v>1080</v>
      </c>
      <c r="H3" s="4" t="s">
        <v>1086</v>
      </c>
      <c r="I3" s="1" t="s">
        <v>1087</v>
      </c>
      <c r="J3" s="1" t="s">
        <v>1088</v>
      </c>
      <c r="K3" s="11" t="s">
        <v>1112</v>
      </c>
      <c r="L3" s="12" t="s">
        <v>1113</v>
      </c>
      <c r="M3" s="12" t="s">
        <v>1115</v>
      </c>
      <c r="N3" s="12" t="s">
        <v>1116</v>
      </c>
      <c r="O3" s="1"/>
      <c r="P3" s="12"/>
      <c r="Q3" s="5" t="s">
        <v>1110</v>
      </c>
      <c r="S3" s="13" t="s">
        <v>1066</v>
      </c>
      <c r="T3" s="13" t="s">
        <v>1119</v>
      </c>
    </row>
    <row r="4" spans="1:20" x14ac:dyDescent="0.3">
      <c r="C4" t="s">
        <v>959</v>
      </c>
      <c r="D4" t="s">
        <v>949</v>
      </c>
      <c r="E4" s="2" t="s">
        <v>952</v>
      </c>
      <c r="F4" t="s">
        <v>964</v>
      </c>
      <c r="G4" t="s">
        <v>976</v>
      </c>
      <c r="H4" t="s">
        <v>950</v>
      </c>
      <c r="I4" t="s">
        <v>1060</v>
      </c>
      <c r="J4" t="s">
        <v>1054</v>
      </c>
      <c r="K4" s="6" t="s">
        <v>1065</v>
      </c>
      <c r="L4" s="6" t="s">
        <v>978</v>
      </c>
      <c r="M4" s="6" t="s">
        <v>960</v>
      </c>
      <c r="N4" s="10" t="s">
        <v>970</v>
      </c>
      <c r="O4" s="2"/>
      <c r="P4" s="17" t="s">
        <v>27</v>
      </c>
      <c r="Q4" s="7" t="s">
        <v>963</v>
      </c>
      <c r="S4" s="13" t="s">
        <v>978</v>
      </c>
      <c r="T4" s="13" t="s">
        <v>1120</v>
      </c>
    </row>
    <row r="5" spans="1:20" x14ac:dyDescent="0.3">
      <c r="D5" t="s">
        <v>950</v>
      </c>
      <c r="E5" s="2" t="s">
        <v>953</v>
      </c>
      <c r="F5" t="s">
        <v>965</v>
      </c>
      <c r="G5" t="s">
        <v>977</v>
      </c>
      <c r="H5" s="2" t="s">
        <v>1064</v>
      </c>
      <c r="I5" t="s">
        <v>1061</v>
      </c>
      <c r="J5" t="s">
        <v>1055</v>
      </c>
      <c r="K5" s="6" t="s">
        <v>1066</v>
      </c>
      <c r="L5" s="6" t="s">
        <v>1065</v>
      </c>
      <c r="M5" s="6" t="s">
        <v>961</v>
      </c>
      <c r="N5" s="6" t="s">
        <v>971</v>
      </c>
      <c r="P5" s="7" t="s">
        <v>29</v>
      </c>
      <c r="Q5" s="7" t="s">
        <v>974</v>
      </c>
      <c r="S5" s="13" t="s">
        <v>1065</v>
      </c>
      <c r="T5" s="13" t="s">
        <v>1118</v>
      </c>
    </row>
    <row r="6" spans="1:20" x14ac:dyDescent="0.3">
      <c r="D6" t="s">
        <v>951</v>
      </c>
      <c r="E6" t="s">
        <v>954</v>
      </c>
      <c r="F6" t="s">
        <v>966</v>
      </c>
      <c r="G6" s="2" t="s">
        <v>1052</v>
      </c>
      <c r="H6" s="2" t="s">
        <v>1067</v>
      </c>
      <c r="I6" t="s">
        <v>1048</v>
      </c>
      <c r="J6" t="s">
        <v>1056</v>
      </c>
      <c r="K6" s="6"/>
      <c r="L6" s="6" t="s">
        <v>1066</v>
      </c>
      <c r="M6" s="6" t="s">
        <v>962</v>
      </c>
      <c r="N6" s="6" t="s">
        <v>972</v>
      </c>
      <c r="S6" s="13" t="s">
        <v>1066</v>
      </c>
      <c r="T6" s="13" t="s">
        <v>1119</v>
      </c>
    </row>
    <row r="7" spans="1:20" x14ac:dyDescent="0.3">
      <c r="D7" s="2" t="s">
        <v>958</v>
      </c>
      <c r="E7" t="s">
        <v>955</v>
      </c>
      <c r="F7" t="s">
        <v>967</v>
      </c>
      <c r="G7" t="s">
        <v>1064</v>
      </c>
      <c r="H7" s="2" t="s">
        <v>1052</v>
      </c>
      <c r="I7" t="s">
        <v>1049</v>
      </c>
      <c r="J7" t="s">
        <v>1057</v>
      </c>
      <c r="K7" s="6"/>
      <c r="L7" s="6"/>
      <c r="M7" s="6"/>
      <c r="N7" s="6" t="s">
        <v>973</v>
      </c>
      <c r="S7" s="13" t="s">
        <v>960</v>
      </c>
      <c r="T7" s="13" t="s">
        <v>1121</v>
      </c>
    </row>
    <row r="8" spans="1:20" ht="17.7" customHeight="1" x14ac:dyDescent="0.3">
      <c r="D8" t="s">
        <v>1068</v>
      </c>
      <c r="E8" s="2" t="s">
        <v>956</v>
      </c>
      <c r="F8" t="s">
        <v>968</v>
      </c>
      <c r="G8" t="s">
        <v>1067</v>
      </c>
      <c r="H8" t="s">
        <v>1000</v>
      </c>
      <c r="I8" t="s">
        <v>1050</v>
      </c>
      <c r="J8" t="s">
        <v>1058</v>
      </c>
      <c r="K8" s="6"/>
      <c r="L8" s="6"/>
      <c r="M8" s="6"/>
      <c r="N8" s="6" t="s">
        <v>975</v>
      </c>
      <c r="S8" s="13" t="s">
        <v>961</v>
      </c>
      <c r="T8" s="13" t="s">
        <v>1122</v>
      </c>
    </row>
    <row r="9" spans="1:20" x14ac:dyDescent="0.3">
      <c r="D9" t="s">
        <v>1069</v>
      </c>
      <c r="E9" s="2" t="s">
        <v>957</v>
      </c>
      <c r="F9" t="s">
        <v>969</v>
      </c>
      <c r="H9" t="s">
        <v>1001</v>
      </c>
      <c r="I9" t="s">
        <v>1051</v>
      </c>
      <c r="J9" t="s">
        <v>1053</v>
      </c>
      <c r="K9" s="6"/>
      <c r="L9" s="6"/>
      <c r="M9" s="6"/>
      <c r="N9" s="6"/>
      <c r="S9" s="13" t="s">
        <v>962</v>
      </c>
      <c r="T9" s="13" t="s">
        <v>1123</v>
      </c>
    </row>
    <row r="10" spans="1:20" x14ac:dyDescent="0.3">
      <c r="D10" t="s">
        <v>1070</v>
      </c>
      <c r="E10" s="2" t="s">
        <v>1062</v>
      </c>
      <c r="H10" t="s">
        <v>1002</v>
      </c>
      <c r="K10" s="6"/>
      <c r="L10" s="6"/>
      <c r="M10" s="6"/>
      <c r="N10" s="6"/>
      <c r="S10" s="14" t="s">
        <v>970</v>
      </c>
      <c r="T10" s="13" t="s">
        <v>1124</v>
      </c>
    </row>
    <row r="11" spans="1:20" x14ac:dyDescent="0.3">
      <c r="H11" t="s">
        <v>1003</v>
      </c>
      <c r="K11" s="6"/>
      <c r="L11" s="6"/>
      <c r="M11" s="6"/>
      <c r="N11" s="6"/>
      <c r="S11" s="13" t="s">
        <v>971</v>
      </c>
      <c r="T11" s="13" t="s">
        <v>1125</v>
      </c>
    </row>
    <row r="12" spans="1:20" x14ac:dyDescent="0.3">
      <c r="H12" t="s">
        <v>1004</v>
      </c>
      <c r="K12" s="6"/>
      <c r="L12" s="6"/>
      <c r="M12" s="6"/>
      <c r="N12" s="6"/>
      <c r="S12" s="13" t="s">
        <v>972</v>
      </c>
      <c r="T12" s="13" t="s">
        <v>1126</v>
      </c>
    </row>
    <row r="13" spans="1:20" x14ac:dyDescent="0.3">
      <c r="H13" t="s">
        <v>1005</v>
      </c>
      <c r="K13" s="6"/>
      <c r="L13" s="6"/>
      <c r="M13" s="6"/>
      <c r="N13" s="6"/>
      <c r="S13" s="13" t="s">
        <v>973</v>
      </c>
      <c r="T13" s="13" t="s">
        <v>1127</v>
      </c>
    </row>
    <row r="14" spans="1:20" x14ac:dyDescent="0.3">
      <c r="H14" t="s">
        <v>1006</v>
      </c>
      <c r="K14" s="6"/>
      <c r="L14" s="6"/>
      <c r="M14" s="6"/>
      <c r="N14" s="6"/>
      <c r="S14" s="13" t="s">
        <v>975</v>
      </c>
      <c r="T14" s="13" t="s">
        <v>1128</v>
      </c>
    </row>
    <row r="15" spans="1:20" x14ac:dyDescent="0.3">
      <c r="H15" t="s">
        <v>1007</v>
      </c>
      <c r="K15" s="6"/>
      <c r="L15" s="6"/>
      <c r="M15" s="6"/>
      <c r="N15" s="6"/>
    </row>
    <row r="16" spans="1:20" x14ac:dyDescent="0.3">
      <c r="H16" t="s">
        <v>1008</v>
      </c>
      <c r="K16" s="6"/>
      <c r="L16" s="6"/>
      <c r="M16" s="6"/>
      <c r="N16" s="6"/>
    </row>
    <row r="17" spans="8:14" x14ac:dyDescent="0.3">
      <c r="H17" t="s">
        <v>1009</v>
      </c>
      <c r="K17" s="6"/>
      <c r="L17" s="6"/>
      <c r="M17" s="6"/>
      <c r="N17" s="6"/>
    </row>
    <row r="18" spans="8:14" x14ac:dyDescent="0.3">
      <c r="H18" t="s">
        <v>1010</v>
      </c>
      <c r="K18" s="6"/>
      <c r="L18" s="6"/>
      <c r="M18" s="6"/>
      <c r="N18" s="6"/>
    </row>
    <row r="19" spans="8:14" x14ac:dyDescent="0.3">
      <c r="H19" t="s">
        <v>1011</v>
      </c>
      <c r="K19" s="6"/>
      <c r="L19" s="6"/>
      <c r="M19" s="6"/>
      <c r="N19" s="6"/>
    </row>
    <row r="20" spans="8:14" x14ac:dyDescent="0.3">
      <c r="H20" t="s">
        <v>1012</v>
      </c>
      <c r="K20" s="6"/>
      <c r="L20" s="6"/>
      <c r="M20" s="6"/>
      <c r="N20" s="6"/>
    </row>
    <row r="21" spans="8:14" x14ac:dyDescent="0.3">
      <c r="H21" t="s">
        <v>1013</v>
      </c>
      <c r="K21" s="6"/>
      <c r="L21" s="6"/>
      <c r="M21" s="6"/>
      <c r="N21" s="6"/>
    </row>
    <row r="22" spans="8:14" x14ac:dyDescent="0.3">
      <c r="H22" t="s">
        <v>1014</v>
      </c>
      <c r="K22" s="6"/>
      <c r="L22" s="6"/>
    </row>
    <row r="23" spans="8:14" x14ac:dyDescent="0.3">
      <c r="H23" t="s">
        <v>1015</v>
      </c>
    </row>
    <row r="24" spans="8:14" x14ac:dyDescent="0.3">
      <c r="H24" t="s">
        <v>1016</v>
      </c>
    </row>
    <row r="25" spans="8:14" x14ac:dyDescent="0.3">
      <c r="H25" t="s">
        <v>1017</v>
      </c>
    </row>
    <row r="26" spans="8:14" x14ac:dyDescent="0.3">
      <c r="H26" t="s">
        <v>1018</v>
      </c>
    </row>
    <row r="27" spans="8:14" x14ac:dyDescent="0.3">
      <c r="H27" t="s">
        <v>1019</v>
      </c>
    </row>
    <row r="28" spans="8:14" x14ac:dyDescent="0.3">
      <c r="H28" t="s">
        <v>1020</v>
      </c>
    </row>
    <row r="29" spans="8:14" x14ac:dyDescent="0.3">
      <c r="H29" t="s">
        <v>1021</v>
      </c>
    </row>
    <row r="30" spans="8:14" x14ac:dyDescent="0.3">
      <c r="H30" t="s">
        <v>1022</v>
      </c>
    </row>
    <row r="31" spans="8:14" x14ac:dyDescent="0.3">
      <c r="H31" t="s">
        <v>1023</v>
      </c>
    </row>
    <row r="32" spans="8:14" x14ac:dyDescent="0.3">
      <c r="H32" t="s">
        <v>986</v>
      </c>
    </row>
    <row r="33" spans="8:8" x14ac:dyDescent="0.3">
      <c r="H33" t="s">
        <v>985</v>
      </c>
    </row>
    <row r="34" spans="8:8" x14ac:dyDescent="0.3">
      <c r="H34" t="s">
        <v>984</v>
      </c>
    </row>
    <row r="35" spans="8:8" x14ac:dyDescent="0.3">
      <c r="H35" t="s">
        <v>983</v>
      </c>
    </row>
    <row r="36" spans="8:8" x14ac:dyDescent="0.3">
      <c r="H36" t="s">
        <v>982</v>
      </c>
    </row>
    <row r="37" spans="8:8" x14ac:dyDescent="0.3">
      <c r="H37" t="s">
        <v>981</v>
      </c>
    </row>
    <row r="38" spans="8:8" x14ac:dyDescent="0.3">
      <c r="H38" t="s">
        <v>980</v>
      </c>
    </row>
    <row r="39" spans="8:8" x14ac:dyDescent="0.3">
      <c r="H39" t="s">
        <v>979</v>
      </c>
    </row>
    <row r="40" spans="8:8" x14ac:dyDescent="0.3">
      <c r="H40" t="s">
        <v>987</v>
      </c>
    </row>
    <row r="41" spans="8:8" x14ac:dyDescent="0.3">
      <c r="H41" t="s">
        <v>988</v>
      </c>
    </row>
    <row r="42" spans="8:8" x14ac:dyDescent="0.3">
      <c r="H42" t="s">
        <v>989</v>
      </c>
    </row>
    <row r="43" spans="8:8" x14ac:dyDescent="0.3">
      <c r="H43" t="s">
        <v>990</v>
      </c>
    </row>
    <row r="44" spans="8:8" x14ac:dyDescent="0.3">
      <c r="H44" t="s">
        <v>991</v>
      </c>
    </row>
    <row r="45" spans="8:8" x14ac:dyDescent="0.3">
      <c r="H45" t="s">
        <v>992</v>
      </c>
    </row>
    <row r="46" spans="8:8" x14ac:dyDescent="0.3">
      <c r="H46" t="s">
        <v>993</v>
      </c>
    </row>
    <row r="47" spans="8:8" x14ac:dyDescent="0.3">
      <c r="H47" t="s">
        <v>994</v>
      </c>
    </row>
    <row r="48" spans="8:8" x14ac:dyDescent="0.3">
      <c r="H48" t="s">
        <v>995</v>
      </c>
    </row>
    <row r="49" spans="8:11" x14ac:dyDescent="0.3">
      <c r="H49" t="s">
        <v>996</v>
      </c>
    </row>
    <row r="50" spans="8:11" x14ac:dyDescent="0.3">
      <c r="H50" t="s">
        <v>997</v>
      </c>
    </row>
    <row r="51" spans="8:11" x14ac:dyDescent="0.3">
      <c r="H51" t="s">
        <v>998</v>
      </c>
    </row>
    <row r="52" spans="8:11" x14ac:dyDescent="0.3">
      <c r="H52" t="s">
        <v>999</v>
      </c>
    </row>
    <row r="53" spans="8:11" x14ac:dyDescent="0.3">
      <c r="H53" t="s">
        <v>1029</v>
      </c>
    </row>
    <row r="54" spans="8:11" x14ac:dyDescent="0.3">
      <c r="H54" t="s">
        <v>1030</v>
      </c>
    </row>
    <row r="55" spans="8:11" x14ac:dyDescent="0.3">
      <c r="H55" t="s">
        <v>1031</v>
      </c>
    </row>
    <row r="56" spans="8:11" x14ac:dyDescent="0.3">
      <c r="H56" t="s">
        <v>1032</v>
      </c>
    </row>
    <row r="57" spans="8:11" x14ac:dyDescent="0.3">
      <c r="H57" t="s">
        <v>1033</v>
      </c>
    </row>
    <row r="58" spans="8:11" x14ac:dyDescent="0.3">
      <c r="H58" t="s">
        <v>1034</v>
      </c>
    </row>
    <row r="59" spans="8:11" x14ac:dyDescent="0.3">
      <c r="H59" t="s">
        <v>1035</v>
      </c>
    </row>
    <row r="60" spans="8:11" x14ac:dyDescent="0.3">
      <c r="H60" s="2" t="s">
        <v>1036</v>
      </c>
    </row>
    <row r="61" spans="8:11" x14ac:dyDescent="0.3">
      <c r="H61" t="s">
        <v>1037</v>
      </c>
      <c r="K61" s="2"/>
    </row>
    <row r="62" spans="8:11" x14ac:dyDescent="0.3">
      <c r="H62" s="2" t="s">
        <v>1059</v>
      </c>
    </row>
    <row r="63" spans="8:11" x14ac:dyDescent="0.3">
      <c r="H63" s="2" t="s">
        <v>1063</v>
      </c>
    </row>
    <row r="64" spans="8:11" x14ac:dyDescent="0.3">
      <c r="H64" t="s">
        <v>1038</v>
      </c>
    </row>
    <row r="65" spans="8:11" x14ac:dyDescent="0.3">
      <c r="H65" t="s">
        <v>1039</v>
      </c>
    </row>
    <row r="66" spans="8:11" x14ac:dyDescent="0.3">
      <c r="H66" t="s">
        <v>1040</v>
      </c>
    </row>
    <row r="67" spans="8:11" x14ac:dyDescent="0.3">
      <c r="H67" t="s">
        <v>1041</v>
      </c>
    </row>
    <row r="68" spans="8:11" x14ac:dyDescent="0.3">
      <c r="H68" t="s">
        <v>1042</v>
      </c>
    </row>
    <row r="69" spans="8:11" x14ac:dyDescent="0.3">
      <c r="H69" t="s">
        <v>1043</v>
      </c>
    </row>
    <row r="70" spans="8:11" x14ac:dyDescent="0.3">
      <c r="H70" t="s">
        <v>1044</v>
      </c>
    </row>
    <row r="71" spans="8:11" x14ac:dyDescent="0.3">
      <c r="H71" t="s">
        <v>1024</v>
      </c>
      <c r="K71" s="2"/>
    </row>
    <row r="72" spans="8:11" x14ac:dyDescent="0.3">
      <c r="H72" t="s">
        <v>1025</v>
      </c>
    </row>
    <row r="73" spans="8:11" x14ac:dyDescent="0.3">
      <c r="H73" t="s">
        <v>1026</v>
      </c>
      <c r="K73" s="2"/>
    </row>
    <row r="74" spans="8:11" x14ac:dyDescent="0.3">
      <c r="H74" t="s">
        <v>1027</v>
      </c>
      <c r="K74" s="2"/>
    </row>
    <row r="75" spans="8:11" x14ac:dyDescent="0.3">
      <c r="H75" t="s">
        <v>1028</v>
      </c>
      <c r="K75" s="2"/>
    </row>
    <row r="76" spans="8:11" x14ac:dyDescent="0.3">
      <c r="H76" t="s">
        <v>1045</v>
      </c>
    </row>
    <row r="77" spans="8:11" x14ac:dyDescent="0.3">
      <c r="H77" s="2" t="s">
        <v>1047</v>
      </c>
    </row>
    <row r="78" spans="8:11" x14ac:dyDescent="0.3">
      <c r="H78" s="2" t="s">
        <v>1069</v>
      </c>
    </row>
    <row r="79" spans="8:11" x14ac:dyDescent="0.3">
      <c r="H79" t="s">
        <v>1046</v>
      </c>
    </row>
    <row r="80" spans="8:11" x14ac:dyDescent="0.3">
      <c r="H80" s="2" t="s">
        <v>1070</v>
      </c>
    </row>
  </sheetData>
  <sortState xmlns:xlrd2="http://schemas.microsoft.com/office/spreadsheetml/2017/richdata2" ref="J4:J8">
    <sortCondition ref="J4"/>
  </sortState>
  <dataConsolidate/>
  <mergeCells count="3">
    <mergeCell ref="K1:N1"/>
    <mergeCell ref="S1:T1"/>
    <mergeCell ref="P2:Q2"/>
  </mergeCells>
  <pageMargins left="0.7" right="0.7" top="0.75" bottom="0.75" header="0.3" footer="0.3"/>
  <pageSetup orientation="portrait"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51D07-2C5E-4966-905B-4332987D441F}">
  <sheetPr codeName="Sheet6"/>
  <dimension ref="A1:B14"/>
  <sheetViews>
    <sheetView workbookViewId="0">
      <selection activeCell="C13" sqref="C13"/>
    </sheetView>
  </sheetViews>
  <sheetFormatPr defaultRowHeight="14.4" x14ac:dyDescent="0.3"/>
  <cols>
    <col min="1" max="1" width="18" bestFit="1" customWidth="1"/>
  </cols>
  <sheetData>
    <row r="1" spans="1:2" x14ac:dyDescent="0.3">
      <c r="A1" t="s">
        <v>1094</v>
      </c>
      <c r="B1" t="s">
        <v>1089</v>
      </c>
    </row>
    <row r="2" spans="1:2" x14ac:dyDescent="0.3">
      <c r="A2" t="s">
        <v>1096</v>
      </c>
      <c r="B2" t="s">
        <v>1092</v>
      </c>
    </row>
    <row r="3" spans="1:2" x14ac:dyDescent="0.3">
      <c r="A3" t="s">
        <v>1095</v>
      </c>
      <c r="B3" t="s">
        <v>1091</v>
      </c>
    </row>
    <row r="4" spans="1:2" x14ac:dyDescent="0.3">
      <c r="A4" t="s">
        <v>1097</v>
      </c>
      <c r="B4" t="s">
        <v>1090</v>
      </c>
    </row>
    <row r="5" spans="1:2" x14ac:dyDescent="0.3">
      <c r="A5" t="s">
        <v>1098</v>
      </c>
      <c r="B5" t="s">
        <v>1093</v>
      </c>
    </row>
    <row r="8" spans="1:2" x14ac:dyDescent="0.3">
      <c r="A8" s="8" t="s">
        <v>1114</v>
      </c>
    </row>
    <row r="9" spans="1:2" x14ac:dyDescent="0.3">
      <c r="A9" t="s">
        <v>41</v>
      </c>
      <c r="B9" t="s">
        <v>1092</v>
      </c>
    </row>
    <row r="10" spans="1:2" x14ac:dyDescent="0.3">
      <c r="A10" t="s">
        <v>42</v>
      </c>
      <c r="B10" t="s">
        <v>1093</v>
      </c>
    </row>
    <row r="12" spans="1:2" x14ac:dyDescent="0.3">
      <c r="A12" s="8" t="s">
        <v>1117</v>
      </c>
    </row>
    <row r="13" spans="1:2" x14ac:dyDescent="0.3">
      <c r="A13" t="s">
        <v>41</v>
      </c>
      <c r="B13" t="s">
        <v>1129</v>
      </c>
    </row>
    <row r="14" spans="1:2" x14ac:dyDescent="0.3">
      <c r="A14" t="s">
        <v>42</v>
      </c>
      <c r="B14" t="s">
        <v>1130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7c2a25c-25db-4634-b347-87ab0af10b27" xsi:nil="true"/>
    <lcf76f155ced4ddcb4097134ff3c332f xmlns="f31608ce-5c54-4aa3-8285-bcfae0cb2d42">
      <Terms xmlns="http://schemas.microsoft.com/office/infopath/2007/PartnerControls"/>
    </lcf76f155ced4ddcb4097134ff3c332f>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3D6875EA08076344AE360E2188D80755" ma:contentTypeVersion="20" ma:contentTypeDescription="Create a new document." ma:contentTypeScope="" ma:versionID="a7195905e10f11a31964896f8ade7d8a">
  <xsd:schema xmlns:xsd="http://www.w3.org/2001/XMLSchema" xmlns:xs="http://www.w3.org/2001/XMLSchema" xmlns:p="http://schemas.microsoft.com/office/2006/metadata/properties" xmlns:ns2="f31608ce-5c54-4aa3-8285-bcfae0cb2d42" xmlns:ns3="6d5844b5-2eb6-442a-941b-18a6d53d2d7f" xmlns:ns4="97c2a25c-25db-4634-b347-87ab0af10b27" targetNamespace="http://schemas.microsoft.com/office/2006/metadata/properties" ma:root="true" ma:fieldsID="1f4854e49ec079ff7bd1b1a2e081810b" ns2:_="" ns3:_="" ns4:_="">
    <xsd:import namespace="f31608ce-5c54-4aa3-8285-bcfae0cb2d42"/>
    <xsd:import namespace="6d5844b5-2eb6-442a-941b-18a6d53d2d7f"/>
    <xsd:import namespace="97c2a25c-25db-4634-b347-87ab0af10b2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1608ce-5c54-4aa3-8285-bcfae0cb2d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Location" ma:index="16"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ec48df8-e8cc-4a73-a73e-519b29584af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5844b5-2eb6-442a-941b-18a6d53d2d7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7c2a25c-25db-4634-b347-87ab0af10b27"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a3f22860-acce-479c-9b04-648b79e5e6a3}" ma:internalName="TaxCatchAll" ma:showField="CatchAllData" ma:web="6d5844b5-2eb6-442a-941b-18a6d53d2d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CC6EB1-7BC5-4EF9-A3B7-0267DA3C91D5}">
  <ds:schemaRefs>
    <ds:schemaRef ds:uri="http://schemas.microsoft.com/sharepoint/v3/contenttype/forms"/>
  </ds:schemaRefs>
</ds:datastoreItem>
</file>

<file path=customXml/itemProps2.xml><?xml version="1.0" encoding="utf-8"?>
<ds:datastoreItem xmlns:ds="http://schemas.openxmlformats.org/officeDocument/2006/customXml" ds:itemID="{1816182D-DEFD-4A2F-9634-E0F44518244E}">
  <ds:schemaRefs>
    <ds:schemaRef ds:uri="http://schemas.microsoft.com/office/2006/documentManagement/types"/>
    <ds:schemaRef ds:uri="8fcbc6bb-4036-4cf7-ad32-553589fbf208"/>
    <ds:schemaRef ds:uri="http://purl.org/dc/elements/1.1/"/>
    <ds:schemaRef ds:uri="http://schemas.microsoft.com/office/2006/metadata/properties"/>
    <ds:schemaRef ds:uri="http://purl.org/dc/terms/"/>
    <ds:schemaRef ds:uri="http://schemas.openxmlformats.org/package/2006/metadata/core-properti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55DFB5C8-6551-4C85-BAB3-CE6AF099AC91}">
  <ds:schemaRefs>
    <ds:schemaRef ds:uri="http://schemas.microsoft.com/DataMashup"/>
  </ds:schemaRefs>
</ds:datastoreItem>
</file>

<file path=customXml/itemProps4.xml><?xml version="1.0" encoding="utf-8"?>
<ds:datastoreItem xmlns:ds="http://schemas.openxmlformats.org/officeDocument/2006/customXml" ds:itemID="{7153DD9E-4D7A-4BA2-BD5F-73DB14C5A5B2}"/>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POM  Section</vt:lpstr>
      <vt:lpstr>FA Section</vt:lpstr>
      <vt:lpstr>FA Section - Grants</vt:lpstr>
      <vt:lpstr>PullDowns</vt:lpstr>
      <vt:lpstr>Source Definitions</vt:lpstr>
      <vt:lpstr>standard activities</vt:lpstr>
      <vt:lpstr>prefix</vt:lpstr>
      <vt:lpstr>Ineligible</vt:lpstr>
      <vt:lpstr>'FA Section'!Print_Area</vt:lpstr>
      <vt:lpstr>'FA Section - Grants'!Print_Area</vt:lpstr>
      <vt:lpstr>'POM  Section'!Print_Area</vt:lpstr>
      <vt:lpstr>'Source Definitions'!Print_Area</vt:lpstr>
      <vt:lpstr>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Marks, Clarissa</dc:creator>
  <cp:lastModifiedBy>Burgesser, David</cp:lastModifiedBy>
  <cp:lastPrinted>2017-12-15T22:29:45Z</cp:lastPrinted>
  <dcterms:created xsi:type="dcterms:W3CDTF">2017-09-19T21:05:59Z</dcterms:created>
  <dcterms:modified xsi:type="dcterms:W3CDTF">2023-08-30T16:20:11Z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0x0101003D6875EA08076344AE360E2188D80755</vt:lpwstr>
  </property>
</Properties>
</file>